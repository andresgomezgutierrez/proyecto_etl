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cuments/GDT 2025/SIVIGILA/800-TOSFERINA/"/>
    </mc:Choice>
  </mc:AlternateContent>
  <xr:revisionPtr revIDLastSave="0" documentId="13_ncr:1_{5DEFC70C-47ED-5C4B-A276-120CA0D4E62A}" xr6:coauthVersionLast="47" xr6:coauthVersionMax="47" xr10:uidLastSave="{00000000-0000-0000-0000-000000000000}"/>
  <bookViews>
    <workbookView xWindow="-100" yWindow="500" windowWidth="23260" windowHeight="12460" xr2:uid="{00000000-000D-0000-FFFF-FFFF00000000}"/>
  </bookViews>
  <sheets>
    <sheet name="TOSFERINA" sheetId="1" r:id="rId1"/>
    <sheet name="Hoja1" sheetId="2" r:id="rId2"/>
  </sheets>
  <definedNames>
    <definedName name="_xlnm._FilterDatabase" localSheetId="0" hidden="1">TOSFERINA!$A$1:$DK$137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O28" i="1" l="1"/>
  <c r="DN28" i="1" s="1"/>
  <c r="DN29" i="1"/>
  <c r="DO29" i="1"/>
  <c r="DO30" i="1"/>
  <c r="DN30" i="1" s="1"/>
  <c r="DO25" i="1"/>
  <c r="DN25" i="1" s="1"/>
  <c r="DO26" i="1"/>
  <c r="DN26" i="1" s="1"/>
  <c r="DO27" i="1"/>
  <c r="DN27" i="1" s="1"/>
  <c r="DO22" i="1" l="1"/>
  <c r="DN22" i="1" s="1"/>
  <c r="DO23" i="1"/>
  <c r="DN23" i="1" s="1"/>
  <c r="DO24" i="1"/>
  <c r="DN24" i="1" s="1"/>
  <c r="DO17" i="1" l="1"/>
  <c r="DN17" i="1" s="1"/>
  <c r="DO18" i="1"/>
  <c r="DN18" i="1" s="1"/>
  <c r="DO19" i="1"/>
  <c r="DN19" i="1" s="1"/>
  <c r="DO20" i="1"/>
  <c r="DN20" i="1" s="1"/>
  <c r="DO21" i="1"/>
  <c r="DN21" i="1" s="1"/>
  <c r="DO7" i="1" l="1"/>
  <c r="DN7" i="1" s="1"/>
  <c r="DO8" i="1"/>
  <c r="DN8" i="1" s="1"/>
  <c r="DO9" i="1"/>
  <c r="DN9" i="1" s="1"/>
  <c r="DO10" i="1"/>
  <c r="DN10" i="1" s="1"/>
  <c r="DO11" i="1"/>
  <c r="DN11" i="1" s="1"/>
  <c r="DO12" i="1"/>
  <c r="DN12" i="1" s="1"/>
  <c r="DO13" i="1"/>
  <c r="DN13" i="1" s="1"/>
  <c r="DO14" i="1"/>
  <c r="DN14" i="1" s="1"/>
  <c r="DO15" i="1"/>
  <c r="DN15" i="1" s="1"/>
  <c r="DO16" i="1"/>
  <c r="DN16" i="1" s="1"/>
  <c r="DO2" i="1"/>
  <c r="DN2" i="1" s="1"/>
  <c r="DO3" i="1"/>
  <c r="DN3" i="1" s="1"/>
  <c r="DO4" i="1"/>
  <c r="DN4" i="1" s="1"/>
  <c r="DO5" i="1"/>
  <c r="DN5" i="1" s="1"/>
  <c r="DO6" i="1"/>
  <c r="DN6" i="1" s="1"/>
</calcChain>
</file>

<file path=xl/sharedStrings.xml><?xml version="1.0" encoding="utf-8"?>
<sst xmlns="http://schemas.openxmlformats.org/spreadsheetml/2006/main" count="1503" uniqueCount="511">
  <si>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</si>
  <si>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</si>
  <si>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</si>
  <si>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</si>
  <si>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</si>
  <si>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</si>
  <si>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</si>
  <si>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</si>
  <si>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</si>
  <si>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</si>
  <si>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</si>
  <si>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</si>
  <si>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</si>
  <si>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</si>
  <si>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</si>
  <si>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</si>
  <si>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</si>
  <si>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</si>
  <si>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</si>
  <si>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</si>
  <si>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</si>
  <si>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</si>
  <si>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</si>
  <si>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</si>
  <si>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</si>
  <si>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</si>
  <si>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</si>
  <si>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</si>
  <si>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</si>
  <si>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</si>
  <si>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</si>
  <si>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</si>
  <si>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</si>
  <si>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</si>
  <si>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</si>
  <si>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</si>
  <si>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</si>
  <si>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</si>
  <si>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</si>
  <si>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</si>
  <si>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</si>
  <si>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</si>
  <si>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</si>
  <si>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</si>
  <si>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</si>
  <si>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</si>
  <si>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</si>
  <si>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</si>
  <si>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</si>
  <si>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</si>
  <si>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</si>
  <si>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</si>
  <si>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</si>
  <si>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</si>
  <si>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</si>
  <si>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</si>
  <si>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</si>
  <si>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</si>
  <si>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</si>
  <si>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</si>
  <si>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</si>
  <si>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</si>
  <si>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</si>
  <si>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pad_mad</t>
  </si>
  <si>
    <t>identifica</t>
  </si>
  <si>
    <t>antipertus</t>
  </si>
  <si>
    <t>tip_vac</t>
  </si>
  <si>
    <t>fec_ud</t>
  </si>
  <si>
    <t>eta_enf</t>
  </si>
  <si>
    <t>ira</t>
  </si>
  <si>
    <t>tos</t>
  </si>
  <si>
    <t>dur_tos</t>
  </si>
  <si>
    <t>tos_par</t>
  </si>
  <si>
    <t>estridor</t>
  </si>
  <si>
    <t>apnea</t>
  </si>
  <si>
    <t>cianosis</t>
  </si>
  <si>
    <t>vomito</t>
  </si>
  <si>
    <t>complicaci</t>
  </si>
  <si>
    <t>tip_com</t>
  </si>
  <si>
    <t>tto_ant</t>
  </si>
  <si>
    <t>tip_ant</t>
  </si>
  <si>
    <t>dur_tto</t>
  </si>
  <si>
    <t>fec_ii</t>
  </si>
  <si>
    <t>nom_eve</t>
  </si>
  <si>
    <t>nom_upgd</t>
  </si>
  <si>
    <t>ndep_proce</t>
  </si>
  <si>
    <t>nmun_proce</t>
  </si>
  <si>
    <t>ndep_resi</t>
  </si>
  <si>
    <t>nmun_resi</t>
  </si>
  <si>
    <t>nmun_notif</t>
  </si>
  <si>
    <t>ndep_notif</t>
  </si>
  <si>
    <t>nreg</t>
  </si>
  <si>
    <t>CUMPLIMIENTO</t>
  </si>
  <si>
    <t>72 HORAS</t>
  </si>
  <si>
    <t>RC</t>
  </si>
  <si>
    <t>M</t>
  </si>
  <si>
    <t>S</t>
  </si>
  <si>
    <t xml:space="preserve">  -   -</t>
  </si>
  <si>
    <t>CLARITROMICINA</t>
  </si>
  <si>
    <t>TOS FERINA</t>
  </si>
  <si>
    <t>TOLIMA</t>
  </si>
  <si>
    <t>F</t>
  </si>
  <si>
    <t>AZITROMICINA</t>
  </si>
  <si>
    <t>uni_modif</t>
  </si>
  <si>
    <t>nuni_modif</t>
  </si>
  <si>
    <t>CC</t>
  </si>
  <si>
    <t>nom_grupo_</t>
  </si>
  <si>
    <t>estrato</t>
  </si>
  <si>
    <t>sem_ges</t>
  </si>
  <si>
    <t>fuente</t>
  </si>
  <si>
    <t>tip_ide_pm</t>
  </si>
  <si>
    <t>num_ide_pm</t>
  </si>
  <si>
    <t>antec_mate</t>
  </si>
  <si>
    <t>fec_tadp_m</t>
  </si>
  <si>
    <t>nacionali_</t>
  </si>
  <si>
    <t>nombre_nacionalidad</t>
  </si>
  <si>
    <t>estrato_</t>
  </si>
  <si>
    <t>sem_ges_</t>
  </si>
  <si>
    <t>fuente_</t>
  </si>
  <si>
    <t>cod_pais_r</t>
  </si>
  <si>
    <t>sem_gestacion_aplicacion</t>
  </si>
  <si>
    <t>inv_cam</t>
  </si>
  <si>
    <t>npais_proce</t>
  </si>
  <si>
    <t>npais_resi</t>
  </si>
  <si>
    <t>COLOMBIA</t>
  </si>
  <si>
    <t>HOSPITAL SAN JUAN BAUTISTA ESE</t>
  </si>
  <si>
    <t>CHAPARRAL</t>
  </si>
  <si>
    <t>C</t>
  </si>
  <si>
    <t>EPS002</t>
  </si>
  <si>
    <t>EPSS37</t>
  </si>
  <si>
    <t>NA</t>
  </si>
  <si>
    <t>IBAGUE</t>
  </si>
  <si>
    <t>99999.07</t>
  </si>
  <si>
    <t>EPSS17</t>
  </si>
  <si>
    <t>FUERA DE BOGOTA</t>
  </si>
  <si>
    <t>ISABELLA</t>
  </si>
  <si>
    <t>BOGOTA</t>
  </si>
  <si>
    <t>MARTINEZ</t>
  </si>
  <si>
    <t>GOMEZ</t>
  </si>
  <si>
    <t>LOZANO</t>
  </si>
  <si>
    <t>20 DE JULIO</t>
  </si>
  <si>
    <t>PLANADAS</t>
  </si>
  <si>
    <t>TI</t>
  </si>
  <si>
    <t>HOSPITAL FEDERICO LLERAS ACOSTA ESE SEDE FRANCIA</t>
  </si>
  <si>
    <t>SUAREZ</t>
  </si>
  <si>
    <t>EPSS41</t>
  </si>
  <si>
    <t>UNIDAD DE SALUD DE IBAGUE SEDE SANFRANCISCO</t>
  </si>
  <si>
    <t>EPSS02</t>
  </si>
  <si>
    <t>JUNICAL MEDICAL SAS</t>
  </si>
  <si>
    <t>FLANDES</t>
  </si>
  <si>
    <t>CUNDINAMARCA</t>
  </si>
  <si>
    <t>GIRARDOT</t>
  </si>
  <si>
    <t>MELANY</t>
  </si>
  <si>
    <t>VENEZUELA</t>
  </si>
  <si>
    <t>99999.05</t>
  </si>
  <si>
    <t>VICTORIA</t>
  </si>
  <si>
    <t>EPS005</t>
  </si>
  <si>
    <t>CLINICA COLSANITAS SA</t>
  </si>
  <si>
    <t>LIA</t>
  </si>
  <si>
    <t>MORALES</t>
  </si>
  <si>
    <t xml:space="preserve">AZITROMICINA </t>
  </si>
  <si>
    <t>FERNANDO</t>
  </si>
  <si>
    <t>VIRREY SOLIS IPS SA COMPLEJO MEDICO LA FLORIDA -</t>
  </si>
  <si>
    <t>EMMANUEL</t>
  </si>
  <si>
    <t>OLAYA</t>
  </si>
  <si>
    <t>iden_gener</t>
  </si>
  <si>
    <t>otra_ident</t>
  </si>
  <si>
    <t>orient_sex</t>
  </si>
  <si>
    <t>otra_orien</t>
  </si>
  <si>
    <t>lat_dir</t>
  </si>
  <si>
    <t>long_dir</t>
  </si>
  <si>
    <t>FechaHora</t>
  </si>
  <si>
    <t>vacio</t>
  </si>
  <si>
    <t>NO APLICA</t>
  </si>
  <si>
    <t>SALOME</t>
  </si>
  <si>
    <t>9999999 SIN INFORMACION</t>
  </si>
  <si>
    <t>CAJAMARCA</t>
  </si>
  <si>
    <t>DAVID</t>
  </si>
  <si>
    <t>EPSI06</t>
  </si>
  <si>
    <t>SECRETARIA DE SALUD MUNICIPAL DE IBAGUE</t>
  </si>
  <si>
    <t>RODRIGUEZ</t>
  </si>
  <si>
    <t>05/09/2024</t>
  </si>
  <si>
    <t>04/06/2025</t>
  </si>
  <si>
    <t>LIAM</t>
  </si>
  <si>
    <t>GAEL</t>
  </si>
  <si>
    <t>VELASQUEZ</t>
  </si>
  <si>
    <t>SAN LUIS</t>
  </si>
  <si>
    <t>KR 13A 6 31 BRR SAN LUIS</t>
  </si>
  <si>
    <t>30/05/2025</t>
  </si>
  <si>
    <t>29/03/2025</t>
  </si>
  <si>
    <t>ANDREA MARGARITA TORRES TOVAR</t>
  </si>
  <si>
    <t>11/06/2025</t>
  </si>
  <si>
    <t>Captura 2.1.12</t>
  </si>
  <si>
    <t>NATALIA ANDREA OLAYA ANDRADE</t>
  </si>
  <si>
    <t>17/06/2025</t>
  </si>
  <si>
    <t>06/06/2025</t>
  </si>
  <si>
    <t>JULIHETTA</t>
  </si>
  <si>
    <t>PEREZ</t>
  </si>
  <si>
    <t>SANCHEZ</t>
  </si>
  <si>
    <t>EL TORU</t>
  </si>
  <si>
    <t>VEREDA EL TORU</t>
  </si>
  <si>
    <t>ESS062</t>
  </si>
  <si>
    <t>16/04/2025</t>
  </si>
  <si>
    <t>SECRETARIA DE SALUD DEL TOLIMA</t>
  </si>
  <si>
    <t>DANIEL ANDREY SALDARRIAGA POVEDA</t>
  </si>
  <si>
    <t>07/07/2025</t>
  </si>
  <si>
    <t>Captura 2.1.7</t>
  </si>
  <si>
    <t>MARIANA SANCHEZ GUERRA</t>
  </si>
  <si>
    <t>10/06/2025</t>
  </si>
  <si>
    <t>HOSPITAL REGIONAL DEL LIBANO ESE</t>
  </si>
  <si>
    <t>CACHIPAY</t>
  </si>
  <si>
    <t>LIBANO</t>
  </si>
  <si>
    <t>ANTONELLA</t>
  </si>
  <si>
    <t>LIEVANO</t>
  </si>
  <si>
    <t>CRA 97 23H 24 FONTIBON</t>
  </si>
  <si>
    <t>FONTIBON</t>
  </si>
  <si>
    <t>27/03/2025</t>
  </si>
  <si>
    <t>18/05/2023</t>
  </si>
  <si>
    <t>JHON SEBASTIAN GOMEZ</t>
  </si>
  <si>
    <t>30/04/2025</t>
  </si>
  <si>
    <t>Captura 2.0.11</t>
  </si>
  <si>
    <t>YULI MARCELA RODRIGUEZ MEJIA</t>
  </si>
  <si>
    <t>20/11/2024</t>
  </si>
  <si>
    <t>23/05/2025</t>
  </si>
  <si>
    <t>CORREA</t>
  </si>
  <si>
    <t>MORA</t>
  </si>
  <si>
    <t>BARRIO CENTRO</t>
  </si>
  <si>
    <t>16/05/2025</t>
  </si>
  <si>
    <t>02/04/2025</t>
  </si>
  <si>
    <t>03/07/2025</t>
  </si>
  <si>
    <t>AZITROMICINA 12 CC CADA DIA</t>
  </si>
  <si>
    <t>27/05/2025</t>
  </si>
  <si>
    <t>24/04/2025</t>
  </si>
  <si>
    <t>JUAN</t>
  </si>
  <si>
    <t>ALEJANDRO</t>
  </si>
  <si>
    <t>YAGUARA</t>
  </si>
  <si>
    <t>AVENIDA</t>
  </si>
  <si>
    <t>BARRIO AVENIDA</t>
  </si>
  <si>
    <t>HOSPITAL CENTRO NIVEL I PLANADAS</t>
  </si>
  <si>
    <t>MARIA PAULA DUSSAN GARZON</t>
  </si>
  <si>
    <t>Captura 2.1.5</t>
  </si>
  <si>
    <t>NELLY PAOLA YAGUARA PEREZ</t>
  </si>
  <si>
    <t>03/06/2025</t>
  </si>
  <si>
    <t>ERICK</t>
  </si>
  <si>
    <t>BERMEO</t>
  </si>
  <si>
    <t>CAICEDO</t>
  </si>
  <si>
    <t>01/06/2025</t>
  </si>
  <si>
    <t>31/03/2025</t>
  </si>
  <si>
    <t>06/08/2025</t>
  </si>
  <si>
    <t>SULEIDY CAICEDO</t>
  </si>
  <si>
    <t>AMPICLINA SULBACTAM CLARITROMI</t>
  </si>
  <si>
    <t>05/06/2025</t>
  </si>
  <si>
    <t>29/05/2025</t>
  </si>
  <si>
    <t>ANDRES</t>
  </si>
  <si>
    <t>FELIPE</t>
  </si>
  <si>
    <t>VERA</t>
  </si>
  <si>
    <t>RONDON</t>
  </si>
  <si>
    <t>SANTOFIMIO</t>
  </si>
  <si>
    <t>MANZANA 17 CASA 9</t>
  </si>
  <si>
    <t>28/05/2025</t>
  </si>
  <si>
    <t>26/05/2025</t>
  </si>
  <si>
    <t>22/12/2024</t>
  </si>
  <si>
    <t>MAURICIO CAEZ</t>
  </si>
  <si>
    <t>BARBARA AILEN RONDON DUQUE</t>
  </si>
  <si>
    <t>PT</t>
  </si>
  <si>
    <t>VEN31634962</t>
  </si>
  <si>
    <t>25/04/2025</t>
  </si>
  <si>
    <t>DYLAN</t>
  </si>
  <si>
    <t>QUIÑONEZ</t>
  </si>
  <si>
    <t>LEMAYA</t>
  </si>
  <si>
    <t>VEREDA LEMAYA</t>
  </si>
  <si>
    <t>99999.06</t>
  </si>
  <si>
    <t>11/03/2025</t>
  </si>
  <si>
    <t>07/03/2025</t>
  </si>
  <si>
    <t>14/12/2024</t>
  </si>
  <si>
    <t>NICOLAS CUELLAR</t>
  </si>
  <si>
    <t>JAQUELINE MARTINEZ REYES</t>
  </si>
  <si>
    <t>65827480--</t>
  </si>
  <si>
    <t>14/02/2025</t>
  </si>
  <si>
    <t>02/05/2025</t>
  </si>
  <si>
    <t>08/07/2025</t>
  </si>
  <si>
    <t>18/05/2025</t>
  </si>
  <si>
    <t>MARIAN</t>
  </si>
  <si>
    <t>OSPINA</t>
  </si>
  <si>
    <t>CRA 2 N 14 44</t>
  </si>
  <si>
    <t>08/05/2025</t>
  </si>
  <si>
    <t>27/02/2025</t>
  </si>
  <si>
    <t>JOSHUA CALEB GOMEZ CERVANTES</t>
  </si>
  <si>
    <t>MARIA JOSE OSPINA LOZANO</t>
  </si>
  <si>
    <t>19/05/2025</t>
  </si>
  <si>
    <t>22/07/2025</t>
  </si>
  <si>
    <t>YILBERSON</t>
  </si>
  <si>
    <t>ANDREY</t>
  </si>
  <si>
    <t>MEJIA</t>
  </si>
  <si>
    <t>CLL 13 CRA 13 3 14</t>
  </si>
  <si>
    <t>SALOMON UMAÑA</t>
  </si>
  <si>
    <t>18/07/2025</t>
  </si>
  <si>
    <t>16/07/2025</t>
  </si>
  <si>
    <t>19/07/2025</t>
  </si>
  <si>
    <t>29/04/2025</t>
  </si>
  <si>
    <t>05/08/2025</t>
  </si>
  <si>
    <t>KIMBER WINETH MEJIA TAPIERO</t>
  </si>
  <si>
    <t>IAN</t>
  </si>
  <si>
    <t>MIGUEL</t>
  </si>
  <si>
    <t>CL 13 CASA 3  51</t>
  </si>
  <si>
    <t>OBRERO</t>
  </si>
  <si>
    <t>CL 13 CASA 3 - 51 BARRIO EL OBRERO</t>
  </si>
  <si>
    <t>16/08/2022</t>
  </si>
  <si>
    <t>JHON SEBASTIAN GOMEZ SISSIV[C00]</t>
  </si>
  <si>
    <t>KELLY DAYANA OSPINA MORALES</t>
  </si>
  <si>
    <t>04/04/2025</t>
  </si>
  <si>
    <t>PABLO</t>
  </si>
  <si>
    <t>SSORIANO</t>
  </si>
  <si>
    <t>TABARES</t>
  </si>
  <si>
    <t>IBANAZCA</t>
  </si>
  <si>
    <t>MZ A CS 4 BARRIO IBANAZCA</t>
  </si>
  <si>
    <t>P</t>
  </si>
  <si>
    <t>RES004</t>
  </si>
  <si>
    <t>26/03/2025</t>
  </si>
  <si>
    <t>23/03/2025</t>
  </si>
  <si>
    <t>25/01/2025</t>
  </si>
  <si>
    <t>ANDRES JAMIR HERNANDEZ VARGAS</t>
  </si>
  <si>
    <t>IVONE ALEXANDRA TABARES SIERRA</t>
  </si>
  <si>
    <t>06/02/2025</t>
  </si>
  <si>
    <t>LOPEZ</t>
  </si>
  <si>
    <t>MZ D CA 10 B</t>
  </si>
  <si>
    <t>29/01/2025</t>
  </si>
  <si>
    <t>SUBRED CENTRO ORIENTE LOS MARTIRES 14</t>
  </si>
  <si>
    <t>YURI CHAVERRA</t>
  </si>
  <si>
    <t>Captura 2.0.8</t>
  </si>
  <si>
    <t>ERIKA ALEJANDRA CORREA HENAO</t>
  </si>
  <si>
    <t>07/01/2025</t>
  </si>
  <si>
    <t>FUNDACION HOSPITAL DE LA MISERICORDIA</t>
  </si>
  <si>
    <t>27/06/2025</t>
  </si>
  <si>
    <t>PARAMO</t>
  </si>
  <si>
    <t>ALZATE</t>
  </si>
  <si>
    <t>VRA EL VURAZ</t>
  </si>
  <si>
    <t>EPS041</t>
  </si>
  <si>
    <t>25/06/2025</t>
  </si>
  <si>
    <t>20/06/2025</t>
  </si>
  <si>
    <t>06/12/2021</t>
  </si>
  <si>
    <t>VIVIANA YELIPSA OCHOA</t>
  </si>
  <si>
    <t>01/07/2025</t>
  </si>
  <si>
    <t xml:space="preserve">LEIDY JOHANA ALZATE </t>
  </si>
  <si>
    <t>CLINICA INTERNACIONAL DE ALTA TECNOLOGIA SAS</t>
  </si>
  <si>
    <t>21/07/2025</t>
  </si>
  <si>
    <t>NATALIA</t>
  </si>
  <si>
    <t>ZAPATA</t>
  </si>
  <si>
    <t>CORTES</t>
  </si>
  <si>
    <t>JORDAN 8 ETAPA</t>
  </si>
  <si>
    <t>CRA 7 #64 -130 JORDAN 8 ETAPA</t>
  </si>
  <si>
    <t>06/07/2025</t>
  </si>
  <si>
    <t>23/01/2014</t>
  </si>
  <si>
    <t>ANGEL RODRIGOS REYES SISSIV[C80]</t>
  </si>
  <si>
    <t>30/07/2025</t>
  </si>
  <si>
    <t>LILIANA PAOLA CORREA PEÑUELA</t>
  </si>
  <si>
    <t>09/02/2019</t>
  </si>
  <si>
    <t>09/04/2025</t>
  </si>
  <si>
    <t>CHRISTOPHER</t>
  </si>
  <si>
    <t>SUACHE</t>
  </si>
  <si>
    <t>MARTINICA PARTE BAJA</t>
  </si>
  <si>
    <t>MZA A CASA 32 URB LA MARTINICA</t>
  </si>
  <si>
    <t>07/04/2025</t>
  </si>
  <si>
    <t>08/04/2025</t>
  </si>
  <si>
    <t>07/09/2024</t>
  </si>
  <si>
    <t>UNIDAD DE SALUD DE IBAGUE ESE JORDAN 8 ETAPA</t>
  </si>
  <si>
    <t>FABIO CASASIERRA</t>
  </si>
  <si>
    <t>YESENIA LOZANO ROMERO</t>
  </si>
  <si>
    <t>CLARITROMIXINA</t>
  </si>
  <si>
    <t>10/04/2025</t>
  </si>
  <si>
    <t>23/07/2025</t>
  </si>
  <si>
    <t>NICOLL</t>
  </si>
  <si>
    <t>TATIANA</t>
  </si>
  <si>
    <t>VARGAS</t>
  </si>
  <si>
    <t>CHARRY</t>
  </si>
  <si>
    <t>CAMPOALEGRE</t>
  </si>
  <si>
    <t>CLL 7 N 7-21 CAMPO ALEGRE</t>
  </si>
  <si>
    <t>23/06/2025</t>
  </si>
  <si>
    <t>19/04/2008</t>
  </si>
  <si>
    <t>SECRETARIA DE SALUD MUNICIPAL DE ATACO</t>
  </si>
  <si>
    <t>IVETTE DURLEY ROMERO TAPIERO  SISSIV[C00]</t>
  </si>
  <si>
    <t>29/07/2025</t>
  </si>
  <si>
    <t>GLORIA MILENA CHARRY TORRES</t>
  </si>
  <si>
    <t>24/07/2025</t>
  </si>
  <si>
    <t>HOSPITAL NUESTRA SEÑORA DE LOURDES</t>
  </si>
  <si>
    <t>ATACO</t>
  </si>
  <si>
    <t>20/05/2025</t>
  </si>
  <si>
    <t>JEOMAR</t>
  </si>
  <si>
    <t>URIEL</t>
  </si>
  <si>
    <t>FALCON</t>
  </si>
  <si>
    <t>VEN8062373</t>
  </si>
  <si>
    <t>MELGAR</t>
  </si>
  <si>
    <t>LAS VEGAS</t>
  </si>
  <si>
    <t>KR 28 AP 112 PISO 2 LAS VEGAS</t>
  </si>
  <si>
    <t>14/05/2025</t>
  </si>
  <si>
    <t>07/06/2020</t>
  </si>
  <si>
    <t>DUMIAN MEDICA SAS CLINICA SAN RAFAEL DE GIRARDOT</t>
  </si>
  <si>
    <t>VALENTINA JIMENEZ ARDILA</t>
  </si>
  <si>
    <t>15/07/2025</t>
  </si>
  <si>
    <t xml:space="preserve">JOSGRY MARTINEZ </t>
  </si>
  <si>
    <t>VEN27546125</t>
  </si>
  <si>
    <t>04/09/2024</t>
  </si>
  <si>
    <t>07/08/2025</t>
  </si>
  <si>
    <t xml:space="preserve">CARLOS </t>
  </si>
  <si>
    <t>MARIN</t>
  </si>
  <si>
    <t>GALAN</t>
  </si>
  <si>
    <t>BARRIO GALAN</t>
  </si>
  <si>
    <t>09/12/2024</t>
  </si>
  <si>
    <t>ESE HOSPITAL PASTEUR MELGAR TOLIMA</t>
  </si>
  <si>
    <t>JAIME PULGARIN</t>
  </si>
  <si>
    <t>08/08/2025</t>
  </si>
  <si>
    <t>GINETH LEONOR MARIN ORTIZ</t>
  </si>
  <si>
    <t>02/12/2024</t>
  </si>
  <si>
    <t>CADENA</t>
  </si>
  <si>
    <t>COMUNA 10</t>
  </si>
  <si>
    <t>CLARETH</t>
  </si>
  <si>
    <t>CALLE 28 N 2A 101 BR CLARET</t>
  </si>
  <si>
    <t>21/05/2025</t>
  </si>
  <si>
    <t>24/07/2023</t>
  </si>
  <si>
    <t>YULY CONSTANZA BERNAL DUQUE SISSIV[C00]</t>
  </si>
  <si>
    <t>04/07/2025</t>
  </si>
  <si>
    <t>JOHANA CAROLINA CADENA HURTADO</t>
  </si>
  <si>
    <t>12/06/2025</t>
  </si>
  <si>
    <t>MIA</t>
  </si>
  <si>
    <t>CANIZALEZ</t>
  </si>
  <si>
    <t>EL TUNAL</t>
  </si>
  <si>
    <t>KR 1 NUMERO 70 01 EL TUNAL</t>
  </si>
  <si>
    <t>D</t>
  </si>
  <si>
    <t>22/04/2025</t>
  </si>
  <si>
    <t>VICTOR HERNANDEZ</t>
  </si>
  <si>
    <t>16/06/2025</t>
  </si>
  <si>
    <t>VIVIAN LORENA LOZANO</t>
  </si>
  <si>
    <t>28/02/2025</t>
  </si>
  <si>
    <t>27/04/2025</t>
  </si>
  <si>
    <t>NICOLAS</t>
  </si>
  <si>
    <t>ADRIAN</t>
  </si>
  <si>
    <t>PALACIO</t>
  </si>
  <si>
    <t>TAFUR</t>
  </si>
  <si>
    <t>BOQUERON</t>
  </si>
  <si>
    <t>CRA 38 SUR N 20 - 15 BOQUERON</t>
  </si>
  <si>
    <t>26/04/2025</t>
  </si>
  <si>
    <t>21/08/2024</t>
  </si>
  <si>
    <t>ANGELA NESTIEL</t>
  </si>
  <si>
    <t>LINA MARIA TAFUR NAVARRO</t>
  </si>
  <si>
    <t>10/03/2025</t>
  </si>
  <si>
    <t>CANIZALES</t>
  </si>
  <si>
    <t>TUNAL</t>
  </si>
  <si>
    <t>KR 1   70 - 01 BARRIO EL TUNAL</t>
  </si>
  <si>
    <t>08/06/2025</t>
  </si>
  <si>
    <t>ORIANA SAAVEDRA</t>
  </si>
  <si>
    <t>VIVIAN LORENA LOZANO SANCHEZ</t>
  </si>
  <si>
    <t>12/02/2025</t>
  </si>
  <si>
    <t>14/06/2025</t>
  </si>
  <si>
    <t>NOAH</t>
  </si>
  <si>
    <t>BARRETO</t>
  </si>
  <si>
    <t>DESCONOCIDA</t>
  </si>
  <si>
    <t>MANZANA D CASA 13 BARRIO GALAN</t>
  </si>
  <si>
    <t>MARTHA KARINA SANJUAN</t>
  </si>
  <si>
    <t>LADY BARRETTO</t>
  </si>
  <si>
    <t>30/06/2025</t>
  </si>
  <si>
    <t>VIRREY SOLIS IPS SA MACARENA</t>
  </si>
  <si>
    <t>18/06/2025</t>
  </si>
  <si>
    <t>URQUIJO</t>
  </si>
  <si>
    <t>CORONADO</t>
  </si>
  <si>
    <t>SALADO</t>
  </si>
  <si>
    <t>MZ 6 CS 73 BARRIO CHICO SALADO</t>
  </si>
  <si>
    <t>20/04/2025</t>
  </si>
  <si>
    <t>03/07/2020</t>
  </si>
  <si>
    <t>VICTOR ALFONSO HERNANDEZ</t>
  </si>
  <si>
    <t>EMILIANO URQUIJO</t>
  </si>
  <si>
    <t>14/02/2022</t>
  </si>
  <si>
    <t>30/05/2020</t>
  </si>
  <si>
    <t>19/06/2025</t>
  </si>
  <si>
    <t>STEFANY</t>
  </si>
  <si>
    <t>BETANCOURT</t>
  </si>
  <si>
    <t>GONZALEZ</t>
  </si>
  <si>
    <t>UNION PARTE ALTA</t>
  </si>
  <si>
    <t>CRA 32 SUR CALLE 16 N 250 BARRIO UNION PARTE ALTA</t>
  </si>
  <si>
    <t>20/07/2025</t>
  </si>
  <si>
    <t>28/03/2025</t>
  </si>
  <si>
    <t>JUAN CARLOS PINILLA</t>
  </si>
  <si>
    <t>PAULA ALEJANDRA GONZALEZ</t>
  </si>
  <si>
    <t>16/01/2025</t>
  </si>
  <si>
    <t>VIANA</t>
  </si>
  <si>
    <t>CASTILLO</t>
  </si>
  <si>
    <t>NINGUNA</t>
  </si>
  <si>
    <t>TOPACIO</t>
  </si>
  <si>
    <t>FINCA MICHELA VEREDA TOPACIO</t>
  </si>
  <si>
    <t>07/02/2025</t>
  </si>
  <si>
    <t>SOLANGEL CASTILLO</t>
  </si>
  <si>
    <t>26/07/2025</t>
  </si>
  <si>
    <t>RIOBLANCO</t>
  </si>
  <si>
    <t>ALAIA</t>
  </si>
  <si>
    <t>DARIANA</t>
  </si>
  <si>
    <t>GIL</t>
  </si>
  <si>
    <t>CARDOZO</t>
  </si>
  <si>
    <t>CRA 4 930 B DIVINO NIÑO</t>
  </si>
  <si>
    <t>DIVINO NIÑO JESUS</t>
  </si>
  <si>
    <t>CRA 4 9-30 B DIVINO NIÑO</t>
  </si>
  <si>
    <t>17/07/2025</t>
  </si>
  <si>
    <t>14/01/2025</t>
  </si>
  <si>
    <t>GREICY DARIANA GIL CARDOZO</t>
  </si>
  <si>
    <t>SAMARA</t>
  </si>
  <si>
    <t>LEITON</t>
  </si>
  <si>
    <t>BARRIO CARMENZA ROCHA</t>
  </si>
  <si>
    <t>CARMENZA ROCHA</t>
  </si>
  <si>
    <t>CALLE 7 E # 8E- 06 BARRIO CARMENZA ROCHA</t>
  </si>
  <si>
    <t>23/04/2025</t>
  </si>
  <si>
    <t>05/02/2025</t>
  </si>
  <si>
    <t>NICOLAS CUELLAR FERNANDEZ</t>
  </si>
  <si>
    <t>MARIA ISABEL SUAREZ CORREDOR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</si>
</sst>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3" borderId="0" xfId="0" applyNumberFormat="1" applyFill="1"/>
    <xf numFmtId="0" fontId="0" fillId="5" borderId="0" xfId="0" applyFill="1"/>
    <xf numFmtId="0" fontId="1" fillId="0" borderId="0" xfId="0" applyFont="1"/>
    <xf numFmtId="1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152"/>
  <sheetViews>
    <sheetView tabSelected="1" topLeftCell="CY1" workbookViewId="0">
      <pane ySplit="1" topLeftCell="A2" activePane="bottomLeft" state="frozen"/>
      <selection pane="bottomLeft" activeCell="DN27" sqref="DN27:DO30"/>
    </sheetView>
  </sheetViews>
  <sheetFormatPr baseColWidth="10" defaultRowHeight="13" x14ac:dyDescent="0.15"/>
  <cols>
    <col min="118" max="118" width="17.5" style="2" customWidth="1"/>
    <col min="119" max="119" width="11.5" style="4"/>
  </cols>
  <sheetData>
    <row r="1" spans="1:119" x14ac:dyDescent="0.15">
      <c r="A1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114</v>
      </c>
      <c r="P1" s="3" t="s">
        <v>115</v>
      </c>
      <c r="Q1" t="s">
        <v>14</v>
      </c>
      <c r="R1" t="s">
        <v>165</v>
      </c>
      <c r="S1" t="s">
        <v>166</v>
      </c>
      <c r="T1" t="s">
        <v>167</v>
      </c>
      <c r="U1" t="s">
        <v>168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169</v>
      </c>
      <c r="AF1" t="s">
        <v>170</v>
      </c>
      <c r="AG1" t="s">
        <v>24</v>
      </c>
      <c r="AH1" t="s">
        <v>25</v>
      </c>
      <c r="AI1" s="3" t="s">
        <v>26</v>
      </c>
      <c r="AJ1" t="s">
        <v>27</v>
      </c>
      <c r="AK1" s="8" t="s">
        <v>106</v>
      </c>
      <c r="AL1" s="8" t="s">
        <v>116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s="8" t="s">
        <v>108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8" t="s">
        <v>118</v>
      </c>
      <c r="BA1" s="10" t="s">
        <v>119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103</v>
      </c>
      <c r="BQ1" t="s">
        <v>104</v>
      </c>
      <c r="BR1" t="s">
        <v>54</v>
      </c>
      <c r="BS1" t="s">
        <v>55</v>
      </c>
      <c r="BT1" t="s">
        <v>56</v>
      </c>
      <c r="BU1" t="s">
        <v>57</v>
      </c>
      <c r="BV1" t="s">
        <v>58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110</v>
      </c>
      <c r="CC1" t="s">
        <v>111</v>
      </c>
      <c r="CD1" t="s">
        <v>64</v>
      </c>
      <c r="CE1" t="s">
        <v>65</v>
      </c>
      <c r="CF1" t="s">
        <v>66</v>
      </c>
      <c r="CG1" t="s">
        <v>67</v>
      </c>
      <c r="CH1" t="s">
        <v>112</v>
      </c>
      <c r="CI1" t="s">
        <v>113</v>
      </c>
      <c r="CJ1" s="10" t="s">
        <v>120</v>
      </c>
      <c r="CK1" t="s">
        <v>69</v>
      </c>
      <c r="CL1" t="s">
        <v>68</v>
      </c>
      <c r="CM1" t="s">
        <v>70</v>
      </c>
      <c r="CN1" t="s">
        <v>71</v>
      </c>
      <c r="CO1" t="s">
        <v>72</v>
      </c>
      <c r="CP1" t="s">
        <v>73</v>
      </c>
      <c r="CQ1" t="s">
        <v>74</v>
      </c>
      <c r="CR1" t="s">
        <v>75</v>
      </c>
      <c r="CS1" t="s">
        <v>76</v>
      </c>
      <c r="CT1" t="s">
        <v>77</v>
      </c>
      <c r="CU1" t="s">
        <v>78</v>
      </c>
      <c r="CV1" t="s">
        <v>79</v>
      </c>
      <c r="CW1" t="s">
        <v>80</v>
      </c>
      <c r="CX1" t="s">
        <v>81</v>
      </c>
      <c r="CY1" s="10" t="s">
        <v>121</v>
      </c>
      <c r="CZ1" s="8" t="s">
        <v>82</v>
      </c>
      <c r="DA1" t="s">
        <v>83</v>
      </c>
      <c r="DB1" t="s">
        <v>84</v>
      </c>
      <c r="DC1" s="10" t="s">
        <v>122</v>
      </c>
      <c r="DD1" t="s">
        <v>85</v>
      </c>
      <c r="DE1" t="s">
        <v>86</v>
      </c>
      <c r="DF1" s="10" t="s">
        <v>123</v>
      </c>
      <c r="DG1" t="s">
        <v>87</v>
      </c>
      <c r="DH1" s="9" t="s">
        <v>88</v>
      </c>
      <c r="DI1" t="s">
        <v>90</v>
      </c>
      <c r="DJ1" t="s">
        <v>89</v>
      </c>
      <c r="DK1" t="s">
        <v>171</v>
      </c>
      <c r="DL1" t="s">
        <v>172</v>
      </c>
      <c r="DN1" s="6" t="s">
        <v>92</v>
      </c>
      <c r="DO1" t="s">
        <v>93</v>
      </c>
    </row>
    <row r="2" spans="1:119" x14ac:dyDescent="0.15">
      <c r="A2">
        <v>800</v>
      </c>
      <c r="B2" t="s">
        <v>182</v>
      </c>
      <c r="C2">
        <v>22</v>
      </c>
      <c r="D2">
        <v>2025</v>
      </c>
      <c r="E2">
        <v>2530703241</v>
      </c>
      <c r="F2">
        <v>1</v>
      </c>
      <c r="G2" t="s">
        <v>183</v>
      </c>
      <c r="H2" t="s">
        <v>184</v>
      </c>
      <c r="I2" t="s">
        <v>185</v>
      </c>
      <c r="J2" t="s">
        <v>164</v>
      </c>
      <c r="K2" t="s">
        <v>94</v>
      </c>
      <c r="L2">
        <v>1072115458</v>
      </c>
      <c r="M2">
        <v>2</v>
      </c>
      <c r="N2">
        <v>2</v>
      </c>
      <c r="O2">
        <v>170</v>
      </c>
      <c r="P2" t="s">
        <v>124</v>
      </c>
      <c r="Q2" t="s">
        <v>95</v>
      </c>
      <c r="V2">
        <v>170</v>
      </c>
      <c r="W2">
        <v>73</v>
      </c>
      <c r="X2">
        <v>275</v>
      </c>
      <c r="Y2">
        <v>1</v>
      </c>
      <c r="Z2" t="s">
        <v>149</v>
      </c>
      <c r="AC2" t="s">
        <v>186</v>
      </c>
      <c r="AD2" t="s">
        <v>187</v>
      </c>
      <c r="AG2" t="s">
        <v>132</v>
      </c>
      <c r="AH2" t="s">
        <v>127</v>
      </c>
      <c r="AI2" t="s">
        <v>128</v>
      </c>
      <c r="AJ2">
        <v>6</v>
      </c>
      <c r="AL2">
        <v>3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73</v>
      </c>
      <c r="BC2">
        <v>275</v>
      </c>
      <c r="BD2" t="s">
        <v>182</v>
      </c>
      <c r="BE2" t="s">
        <v>188</v>
      </c>
      <c r="BF2">
        <v>2</v>
      </c>
      <c r="BG2">
        <v>1</v>
      </c>
      <c r="BH2" t="s">
        <v>182</v>
      </c>
      <c r="BI2">
        <v>1</v>
      </c>
      <c r="BJ2" t="s">
        <v>97</v>
      </c>
      <c r="BK2">
        <v>6</v>
      </c>
      <c r="BL2">
        <v>3209304330</v>
      </c>
      <c r="BM2" t="s">
        <v>189</v>
      </c>
      <c r="BP2">
        <v>253070324101</v>
      </c>
      <c r="BQ2" t="s">
        <v>148</v>
      </c>
      <c r="BR2" t="s">
        <v>97</v>
      </c>
      <c r="BS2" t="s">
        <v>190</v>
      </c>
      <c r="BT2">
        <v>3112174575</v>
      </c>
      <c r="BU2" t="s">
        <v>191</v>
      </c>
      <c r="BV2">
        <v>9011649740</v>
      </c>
      <c r="BZ2" t="s">
        <v>192</v>
      </c>
      <c r="CA2" t="s">
        <v>193</v>
      </c>
      <c r="CB2" t="s">
        <v>105</v>
      </c>
      <c r="CC2">
        <v>1070585016</v>
      </c>
      <c r="CD2">
        <v>2</v>
      </c>
      <c r="CE2">
        <v>0</v>
      </c>
      <c r="CG2" t="s">
        <v>97</v>
      </c>
      <c r="CH2">
        <v>2</v>
      </c>
      <c r="CI2" t="s">
        <v>97</v>
      </c>
      <c r="CK2">
        <v>1</v>
      </c>
      <c r="CL2">
        <v>1</v>
      </c>
      <c r="CM2">
        <v>1</v>
      </c>
      <c r="CN2">
        <v>5</v>
      </c>
      <c r="CO2">
        <v>2</v>
      </c>
      <c r="CP2">
        <v>1</v>
      </c>
      <c r="CQ2">
        <v>2</v>
      </c>
      <c r="CR2">
        <v>2</v>
      </c>
      <c r="CS2">
        <v>2</v>
      </c>
      <c r="CT2">
        <v>2</v>
      </c>
      <c r="CV2">
        <v>2</v>
      </c>
      <c r="CY2">
        <v>1</v>
      </c>
      <c r="CZ2" t="s">
        <v>182</v>
      </c>
      <c r="DA2" t="s">
        <v>99</v>
      </c>
      <c r="DB2" t="s">
        <v>148</v>
      </c>
      <c r="DC2" t="s">
        <v>124</v>
      </c>
      <c r="DD2" t="s">
        <v>100</v>
      </c>
      <c r="DE2" t="s">
        <v>149</v>
      </c>
      <c r="DF2" t="s">
        <v>124</v>
      </c>
      <c r="DG2" t="s">
        <v>100</v>
      </c>
      <c r="DH2" t="s">
        <v>149</v>
      </c>
      <c r="DI2" t="s">
        <v>150</v>
      </c>
      <c r="DJ2" t="s">
        <v>151</v>
      </c>
      <c r="DK2" t="s">
        <v>194</v>
      </c>
      <c r="DL2">
        <v>0</v>
      </c>
      <c r="DN2" s="2" t="str">
        <f t="shared" ref="DN2:DN6" si="0">IF(CZ2="  -   -",IF(CZ2="","ESPACIO","SIN FECHA"),IF(CZ2&gt;DO2,"INOPORTUNA","OPORTUNA"))</f>
        <v>INOPORTUNA</v>
      </c>
      <c r="DO2" s="4">
        <f t="shared" ref="DO2:DO6" si="1">IF(B2="","-",DATE(YEAR(B2),MONTH(B2),DAY(B2)+3))</f>
        <v>45815</v>
      </c>
    </row>
    <row r="3" spans="1:119" x14ac:dyDescent="0.15">
      <c r="A3">
        <v>800</v>
      </c>
      <c r="B3" t="s">
        <v>195</v>
      </c>
      <c r="C3">
        <v>23</v>
      </c>
      <c r="D3">
        <v>2025</v>
      </c>
      <c r="E3">
        <v>7341100687</v>
      </c>
      <c r="F3">
        <v>1</v>
      </c>
      <c r="G3" t="s">
        <v>196</v>
      </c>
      <c r="H3" t="s">
        <v>174</v>
      </c>
      <c r="I3" t="s">
        <v>197</v>
      </c>
      <c r="J3" t="s">
        <v>198</v>
      </c>
      <c r="K3" t="s">
        <v>94</v>
      </c>
      <c r="L3">
        <v>1137735327</v>
      </c>
      <c r="M3">
        <v>1</v>
      </c>
      <c r="N3">
        <v>2</v>
      </c>
      <c r="O3">
        <v>170</v>
      </c>
      <c r="P3" t="s">
        <v>124</v>
      </c>
      <c r="Q3" t="s">
        <v>101</v>
      </c>
      <c r="R3">
        <v>2</v>
      </c>
      <c r="T3">
        <v>1</v>
      </c>
      <c r="V3">
        <v>170</v>
      </c>
      <c r="W3">
        <v>25</v>
      </c>
      <c r="X3">
        <v>123</v>
      </c>
      <c r="Y3">
        <v>3</v>
      </c>
      <c r="AB3" t="s">
        <v>199</v>
      </c>
      <c r="AD3" t="s">
        <v>200</v>
      </c>
      <c r="AG3" t="s">
        <v>132</v>
      </c>
      <c r="AH3" t="s">
        <v>96</v>
      </c>
      <c r="AI3" t="s">
        <v>201</v>
      </c>
      <c r="AJ3">
        <v>6</v>
      </c>
      <c r="AL3">
        <v>1</v>
      </c>
      <c r="AM3">
        <v>2</v>
      </c>
      <c r="AN3">
        <v>2</v>
      </c>
      <c r="AO3">
        <v>2</v>
      </c>
      <c r="AP3">
        <v>2</v>
      </c>
      <c r="AQ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1</v>
      </c>
      <c r="AZ3">
        <v>1</v>
      </c>
      <c r="BA3">
        <v>170</v>
      </c>
      <c r="BB3">
        <v>25</v>
      </c>
      <c r="BC3">
        <v>123</v>
      </c>
      <c r="BD3" t="s">
        <v>195</v>
      </c>
      <c r="BE3" t="s">
        <v>195</v>
      </c>
      <c r="BF3">
        <v>2</v>
      </c>
      <c r="BG3">
        <v>1</v>
      </c>
      <c r="BH3" t="s">
        <v>195</v>
      </c>
      <c r="BI3">
        <v>1</v>
      </c>
      <c r="BJ3" t="s">
        <v>97</v>
      </c>
      <c r="BK3" s="10">
        <v>6</v>
      </c>
      <c r="BL3">
        <v>3224943019</v>
      </c>
      <c r="BM3" t="s">
        <v>202</v>
      </c>
      <c r="BP3">
        <v>730000000000</v>
      </c>
      <c r="BQ3" t="s">
        <v>203</v>
      </c>
      <c r="BR3" t="s">
        <v>97</v>
      </c>
      <c r="BS3" t="s">
        <v>204</v>
      </c>
      <c r="BT3">
        <v>6082564187</v>
      </c>
      <c r="BU3" t="s">
        <v>205</v>
      </c>
      <c r="BV3">
        <v>8907017187</v>
      </c>
      <c r="BZ3" t="s">
        <v>206</v>
      </c>
      <c r="CA3" t="s">
        <v>207</v>
      </c>
      <c r="CB3" t="s">
        <v>105</v>
      </c>
      <c r="CC3">
        <v>31511916</v>
      </c>
      <c r="CD3">
        <v>3</v>
      </c>
      <c r="CE3">
        <v>0</v>
      </c>
      <c r="CG3" t="s">
        <v>97</v>
      </c>
      <c r="CH3">
        <v>2</v>
      </c>
      <c r="CI3" t="s">
        <v>97</v>
      </c>
      <c r="CK3">
        <v>1</v>
      </c>
      <c r="CL3">
        <v>2</v>
      </c>
      <c r="CM3">
        <v>1</v>
      </c>
      <c r="CN3">
        <v>3</v>
      </c>
      <c r="CO3">
        <v>1</v>
      </c>
      <c r="CP3">
        <v>1</v>
      </c>
      <c r="CQ3">
        <v>2</v>
      </c>
      <c r="CR3">
        <v>1</v>
      </c>
      <c r="CS3">
        <v>2</v>
      </c>
      <c r="CT3">
        <v>1</v>
      </c>
      <c r="CU3">
        <v>4</v>
      </c>
      <c r="CV3">
        <v>1</v>
      </c>
      <c r="CW3" t="s">
        <v>98</v>
      </c>
      <c r="CX3">
        <v>7</v>
      </c>
      <c r="CY3">
        <v>1</v>
      </c>
      <c r="CZ3" s="11" t="s">
        <v>208</v>
      </c>
      <c r="DA3" t="s">
        <v>99</v>
      </c>
      <c r="DB3" t="s">
        <v>209</v>
      </c>
      <c r="DC3" t="s">
        <v>124</v>
      </c>
      <c r="DD3" t="s">
        <v>150</v>
      </c>
      <c r="DE3" t="s">
        <v>210</v>
      </c>
      <c r="DF3" t="s">
        <v>124</v>
      </c>
      <c r="DG3" t="s">
        <v>150</v>
      </c>
      <c r="DH3" t="s">
        <v>210</v>
      </c>
      <c r="DI3" t="s">
        <v>100</v>
      </c>
      <c r="DJ3" t="s">
        <v>211</v>
      </c>
      <c r="DK3" t="s">
        <v>205</v>
      </c>
      <c r="DL3">
        <v>0</v>
      </c>
      <c r="DN3" s="2" t="str">
        <f t="shared" si="0"/>
        <v>INOPORTUNA</v>
      </c>
      <c r="DO3" s="4">
        <f t="shared" si="1"/>
        <v>45817</v>
      </c>
    </row>
    <row r="4" spans="1:119" x14ac:dyDescent="0.15">
      <c r="A4">
        <v>800</v>
      </c>
      <c r="B4" t="s">
        <v>202</v>
      </c>
      <c r="C4">
        <v>13</v>
      </c>
      <c r="D4">
        <v>2025</v>
      </c>
      <c r="E4">
        <v>7316800905</v>
      </c>
      <c r="F4">
        <v>1</v>
      </c>
      <c r="G4" t="s">
        <v>212</v>
      </c>
      <c r="I4" t="s">
        <v>213</v>
      </c>
      <c r="J4" t="s">
        <v>180</v>
      </c>
      <c r="K4" t="s">
        <v>94</v>
      </c>
      <c r="L4">
        <v>1243765380</v>
      </c>
      <c r="M4">
        <v>1</v>
      </c>
      <c r="N4">
        <v>1</v>
      </c>
      <c r="O4">
        <v>170</v>
      </c>
      <c r="P4" t="s">
        <v>124</v>
      </c>
      <c r="Q4" t="s">
        <v>101</v>
      </c>
      <c r="R4">
        <v>2</v>
      </c>
      <c r="T4">
        <v>1</v>
      </c>
      <c r="V4">
        <v>170</v>
      </c>
      <c r="W4">
        <v>11</v>
      </c>
      <c r="X4">
        <v>1</v>
      </c>
      <c r="Y4">
        <v>1</v>
      </c>
      <c r="Z4" t="s">
        <v>214</v>
      </c>
      <c r="AC4" t="s">
        <v>215</v>
      </c>
      <c r="AD4" t="s">
        <v>214</v>
      </c>
      <c r="AG4" t="s">
        <v>132</v>
      </c>
      <c r="AH4" t="s">
        <v>96</v>
      </c>
      <c r="AI4" t="s">
        <v>133</v>
      </c>
      <c r="AJ4">
        <v>6</v>
      </c>
      <c r="AL4">
        <v>1</v>
      </c>
      <c r="AM4">
        <v>2</v>
      </c>
      <c r="AN4">
        <v>2</v>
      </c>
      <c r="AO4">
        <v>2</v>
      </c>
      <c r="AP4">
        <v>2</v>
      </c>
      <c r="AQ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1</v>
      </c>
      <c r="AZ4">
        <v>1</v>
      </c>
      <c r="BA4">
        <v>170</v>
      </c>
      <c r="BB4">
        <v>11</v>
      </c>
      <c r="BC4">
        <v>1</v>
      </c>
      <c r="BD4" t="s">
        <v>202</v>
      </c>
      <c r="BE4" t="s">
        <v>216</v>
      </c>
      <c r="BF4">
        <v>2</v>
      </c>
      <c r="BG4">
        <v>2</v>
      </c>
      <c r="BH4" t="s">
        <v>97</v>
      </c>
      <c r="BI4">
        <v>1</v>
      </c>
      <c r="BJ4" t="s">
        <v>97</v>
      </c>
      <c r="BK4" s="10">
        <v>6</v>
      </c>
      <c r="BL4">
        <v>3059475540</v>
      </c>
      <c r="BM4" t="s">
        <v>217</v>
      </c>
      <c r="BP4">
        <v>731680090501</v>
      </c>
      <c r="BQ4" t="s">
        <v>125</v>
      </c>
      <c r="BR4" t="s">
        <v>97</v>
      </c>
      <c r="BS4" t="s">
        <v>218</v>
      </c>
      <c r="BT4">
        <v>3182240976</v>
      </c>
      <c r="BU4" t="s">
        <v>219</v>
      </c>
      <c r="BV4">
        <v>8907014594</v>
      </c>
      <c r="BZ4" t="s">
        <v>220</v>
      </c>
      <c r="CA4" t="s">
        <v>221</v>
      </c>
      <c r="CB4" t="s">
        <v>105</v>
      </c>
      <c r="CC4">
        <v>1032440569</v>
      </c>
      <c r="CD4">
        <v>2</v>
      </c>
      <c r="CE4">
        <v>4</v>
      </c>
      <c r="CF4">
        <v>1</v>
      </c>
      <c r="CG4" t="s">
        <v>222</v>
      </c>
      <c r="CH4">
        <v>2</v>
      </c>
      <c r="CI4" t="s">
        <v>97</v>
      </c>
      <c r="CK4">
        <v>1</v>
      </c>
      <c r="CL4">
        <v>1</v>
      </c>
      <c r="CM4">
        <v>1</v>
      </c>
      <c r="CN4">
        <v>20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V4">
        <v>1</v>
      </c>
      <c r="CW4" t="s">
        <v>102</v>
      </c>
      <c r="CX4">
        <v>5</v>
      </c>
      <c r="CY4">
        <v>2</v>
      </c>
      <c r="CZ4" s="12" t="s">
        <v>97</v>
      </c>
      <c r="DA4" t="s">
        <v>99</v>
      </c>
      <c r="DB4" t="s">
        <v>125</v>
      </c>
      <c r="DC4" t="s">
        <v>124</v>
      </c>
      <c r="DD4" t="s">
        <v>136</v>
      </c>
      <c r="DE4" t="s">
        <v>136</v>
      </c>
      <c r="DF4" t="s">
        <v>124</v>
      </c>
      <c r="DG4" t="s">
        <v>136</v>
      </c>
      <c r="DH4" t="s">
        <v>136</v>
      </c>
      <c r="DI4" t="s">
        <v>100</v>
      </c>
      <c r="DJ4" t="s">
        <v>126</v>
      </c>
      <c r="DK4" t="s">
        <v>219</v>
      </c>
      <c r="DL4">
        <v>0</v>
      </c>
      <c r="DN4" s="2" t="str">
        <f t="shared" si="0"/>
        <v>SIN FECHA</v>
      </c>
      <c r="DO4" s="4">
        <f t="shared" si="1"/>
        <v>45766</v>
      </c>
    </row>
    <row r="5" spans="1:119" x14ac:dyDescent="0.15">
      <c r="A5">
        <v>800</v>
      </c>
      <c r="B5" t="s">
        <v>223</v>
      </c>
      <c r="C5">
        <v>20</v>
      </c>
      <c r="D5">
        <v>2025</v>
      </c>
      <c r="E5">
        <v>7316800905</v>
      </c>
      <c r="F5">
        <v>1</v>
      </c>
      <c r="G5" t="s">
        <v>212</v>
      </c>
      <c r="I5" t="s">
        <v>224</v>
      </c>
      <c r="J5" t="s">
        <v>225</v>
      </c>
      <c r="K5" t="s">
        <v>94</v>
      </c>
      <c r="L5">
        <v>1129009431</v>
      </c>
      <c r="M5">
        <v>1</v>
      </c>
      <c r="N5">
        <v>2</v>
      </c>
      <c r="O5">
        <v>170</v>
      </c>
      <c r="P5" t="s">
        <v>124</v>
      </c>
      <c r="Q5" t="s">
        <v>101</v>
      </c>
      <c r="R5">
        <v>2</v>
      </c>
      <c r="T5">
        <v>1</v>
      </c>
      <c r="V5">
        <v>170</v>
      </c>
      <c r="W5">
        <v>73</v>
      </c>
      <c r="X5">
        <v>555</v>
      </c>
      <c r="Y5">
        <v>1</v>
      </c>
      <c r="Z5" t="s">
        <v>226</v>
      </c>
      <c r="AC5" t="s">
        <v>226</v>
      </c>
      <c r="AD5" t="s">
        <v>226</v>
      </c>
      <c r="AG5" t="s">
        <v>132</v>
      </c>
      <c r="AH5" t="s">
        <v>96</v>
      </c>
      <c r="AI5" t="s">
        <v>129</v>
      </c>
      <c r="AJ5">
        <v>6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1</v>
      </c>
      <c r="AZ5">
        <v>1</v>
      </c>
      <c r="BA5">
        <v>170</v>
      </c>
      <c r="BB5">
        <v>73</v>
      </c>
      <c r="BC5">
        <v>555</v>
      </c>
      <c r="BD5" t="s">
        <v>223</v>
      </c>
      <c r="BE5" t="s">
        <v>227</v>
      </c>
      <c r="BF5">
        <v>2</v>
      </c>
      <c r="BG5">
        <v>2</v>
      </c>
      <c r="BH5" t="s">
        <v>97</v>
      </c>
      <c r="BI5">
        <v>1</v>
      </c>
      <c r="BJ5" t="s">
        <v>97</v>
      </c>
      <c r="BK5">
        <v>6</v>
      </c>
      <c r="BL5">
        <v>3508895244</v>
      </c>
      <c r="BM5" t="s">
        <v>228</v>
      </c>
      <c r="BP5">
        <v>731680090501</v>
      </c>
      <c r="BQ5" t="s">
        <v>125</v>
      </c>
      <c r="BR5" t="s">
        <v>97</v>
      </c>
      <c r="BS5" t="s">
        <v>218</v>
      </c>
      <c r="BT5">
        <v>3182240976</v>
      </c>
      <c r="BU5" t="s">
        <v>229</v>
      </c>
      <c r="BV5">
        <v>8907014594</v>
      </c>
      <c r="BZ5" t="s">
        <v>192</v>
      </c>
      <c r="CB5" t="s">
        <v>105</v>
      </c>
      <c r="CD5">
        <v>3</v>
      </c>
      <c r="CE5">
        <v>0</v>
      </c>
      <c r="CG5" t="s">
        <v>97</v>
      </c>
      <c r="CH5">
        <v>2</v>
      </c>
      <c r="CI5" t="s">
        <v>97</v>
      </c>
      <c r="CK5">
        <v>1</v>
      </c>
      <c r="CL5">
        <v>1</v>
      </c>
      <c r="CM5">
        <v>1</v>
      </c>
      <c r="CN5">
        <v>5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V5">
        <v>1</v>
      </c>
      <c r="CW5" t="s">
        <v>230</v>
      </c>
      <c r="CX5">
        <v>5</v>
      </c>
      <c r="CY5">
        <v>1</v>
      </c>
      <c r="CZ5" t="s">
        <v>231</v>
      </c>
      <c r="DA5" t="s">
        <v>99</v>
      </c>
      <c r="DB5" t="s">
        <v>125</v>
      </c>
      <c r="DC5" t="s">
        <v>124</v>
      </c>
      <c r="DD5" t="s">
        <v>100</v>
      </c>
      <c r="DE5" t="s">
        <v>141</v>
      </c>
      <c r="DF5" t="s">
        <v>124</v>
      </c>
      <c r="DG5" t="s">
        <v>100</v>
      </c>
      <c r="DH5" t="s">
        <v>141</v>
      </c>
      <c r="DI5" t="s">
        <v>100</v>
      </c>
      <c r="DJ5" t="s">
        <v>126</v>
      </c>
      <c r="DK5" t="s">
        <v>205</v>
      </c>
      <c r="DL5">
        <v>0</v>
      </c>
      <c r="DN5" s="2" t="str">
        <f t="shared" si="0"/>
        <v>INOPORTUNA</v>
      </c>
      <c r="DO5" s="4">
        <f t="shared" si="1"/>
        <v>45803</v>
      </c>
    </row>
    <row r="6" spans="1:119" s="2" customFormat="1" x14ac:dyDescent="0.15">
      <c r="A6">
        <v>800</v>
      </c>
      <c r="B6" t="s">
        <v>232</v>
      </c>
      <c r="C6">
        <v>17</v>
      </c>
      <c r="D6">
        <v>2025</v>
      </c>
      <c r="E6">
        <v>7355501031</v>
      </c>
      <c r="F6">
        <v>1</v>
      </c>
      <c r="G6" t="s">
        <v>233</v>
      </c>
      <c r="H6" t="s">
        <v>234</v>
      </c>
      <c r="I6" t="s">
        <v>180</v>
      </c>
      <c r="J6" t="s">
        <v>235</v>
      </c>
      <c r="K6" t="s">
        <v>94</v>
      </c>
      <c r="L6">
        <v>1109425355</v>
      </c>
      <c r="M6">
        <v>1</v>
      </c>
      <c r="N6">
        <v>1</v>
      </c>
      <c r="O6">
        <v>170</v>
      </c>
      <c r="P6" t="s">
        <v>124</v>
      </c>
      <c r="Q6" t="s">
        <v>95</v>
      </c>
      <c r="R6">
        <v>1</v>
      </c>
      <c r="S6"/>
      <c r="T6">
        <v>1</v>
      </c>
      <c r="U6"/>
      <c r="V6">
        <v>170</v>
      </c>
      <c r="W6">
        <v>73</v>
      </c>
      <c r="X6">
        <v>555</v>
      </c>
      <c r="Y6">
        <v>1</v>
      </c>
      <c r="Z6" t="s">
        <v>141</v>
      </c>
      <c r="AA6"/>
      <c r="AB6"/>
      <c r="AC6" t="s">
        <v>236</v>
      </c>
      <c r="AD6" t="s">
        <v>237</v>
      </c>
      <c r="AE6"/>
      <c r="AF6"/>
      <c r="AG6" t="s">
        <v>132</v>
      </c>
      <c r="AH6" t="s">
        <v>96</v>
      </c>
      <c r="AI6" t="s">
        <v>145</v>
      </c>
      <c r="AJ6">
        <v>6</v>
      </c>
      <c r="AK6"/>
      <c r="AL6">
        <v>1</v>
      </c>
      <c r="AM6">
        <v>2</v>
      </c>
      <c r="AN6">
        <v>2</v>
      </c>
      <c r="AO6">
        <v>2</v>
      </c>
      <c r="AP6">
        <v>2</v>
      </c>
      <c r="AQ6">
        <v>2</v>
      </c>
      <c r="AR6"/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1</v>
      </c>
      <c r="AZ6">
        <v>1</v>
      </c>
      <c r="BA6">
        <v>170</v>
      </c>
      <c r="BB6">
        <v>73</v>
      </c>
      <c r="BC6">
        <v>555</v>
      </c>
      <c r="BD6" t="s">
        <v>232</v>
      </c>
      <c r="BE6" t="s">
        <v>232</v>
      </c>
      <c r="BF6">
        <v>2</v>
      </c>
      <c r="BG6">
        <v>2</v>
      </c>
      <c r="BH6" t="s">
        <v>97</v>
      </c>
      <c r="BI6">
        <v>1</v>
      </c>
      <c r="BJ6" t="s">
        <v>97</v>
      </c>
      <c r="BK6">
        <v>0</v>
      </c>
      <c r="BL6">
        <v>3144020117</v>
      </c>
      <c r="BM6" t="s">
        <v>232</v>
      </c>
      <c r="BN6"/>
      <c r="BO6"/>
      <c r="BP6">
        <v>735550103101</v>
      </c>
      <c r="BQ6" t="s">
        <v>238</v>
      </c>
      <c r="BR6" t="s">
        <v>97</v>
      </c>
      <c r="BS6" t="s">
        <v>239</v>
      </c>
      <c r="BT6">
        <v>3188737646</v>
      </c>
      <c r="BU6" t="s">
        <v>232</v>
      </c>
      <c r="BV6">
        <v>8907045557</v>
      </c>
      <c r="BW6"/>
      <c r="BX6"/>
      <c r="BY6"/>
      <c r="BZ6" t="s">
        <v>240</v>
      </c>
      <c r="CA6" t="s">
        <v>241</v>
      </c>
      <c r="CB6" t="s">
        <v>142</v>
      </c>
      <c r="CC6">
        <v>1108832115</v>
      </c>
      <c r="CD6">
        <v>2</v>
      </c>
      <c r="CE6">
        <v>0</v>
      </c>
      <c r="CF6"/>
      <c r="CG6" t="s">
        <v>97</v>
      </c>
      <c r="CH6">
        <v>2</v>
      </c>
      <c r="CI6" t="s">
        <v>97</v>
      </c>
      <c r="CJ6"/>
      <c r="CK6">
        <v>1</v>
      </c>
      <c r="CL6">
        <v>3</v>
      </c>
      <c r="CM6">
        <v>1</v>
      </c>
      <c r="CN6">
        <v>15</v>
      </c>
      <c r="CO6">
        <v>1</v>
      </c>
      <c r="CP6">
        <v>1</v>
      </c>
      <c r="CQ6">
        <v>2</v>
      </c>
      <c r="CR6">
        <v>2</v>
      </c>
      <c r="CS6">
        <v>2</v>
      </c>
      <c r="CT6">
        <v>2</v>
      </c>
      <c r="CU6"/>
      <c r="CV6">
        <v>2</v>
      </c>
      <c r="CW6"/>
      <c r="CX6"/>
      <c r="CY6">
        <v>2</v>
      </c>
      <c r="CZ6" s="8" t="s">
        <v>97</v>
      </c>
      <c r="DA6" t="s">
        <v>99</v>
      </c>
      <c r="DB6" t="s">
        <v>238</v>
      </c>
      <c r="DC6" t="s">
        <v>124</v>
      </c>
      <c r="DD6" t="s">
        <v>100</v>
      </c>
      <c r="DE6" t="s">
        <v>141</v>
      </c>
      <c r="DF6" t="s">
        <v>124</v>
      </c>
      <c r="DG6" t="s">
        <v>100</v>
      </c>
      <c r="DH6" t="s">
        <v>141</v>
      </c>
      <c r="DI6" t="s">
        <v>100</v>
      </c>
      <c r="DJ6" t="s">
        <v>141</v>
      </c>
      <c r="DK6" t="s">
        <v>232</v>
      </c>
      <c r="DL6">
        <v>0</v>
      </c>
      <c r="DN6" s="2" t="str">
        <f t="shared" si="0"/>
        <v>SIN FECHA</v>
      </c>
      <c r="DO6" s="4">
        <f t="shared" si="1"/>
        <v>45774</v>
      </c>
    </row>
    <row r="7" spans="1:119" s="2" customFormat="1" x14ac:dyDescent="0.15">
      <c r="A7">
        <v>800</v>
      </c>
      <c r="B7" t="s">
        <v>242</v>
      </c>
      <c r="C7">
        <v>22</v>
      </c>
      <c r="D7">
        <v>2025</v>
      </c>
      <c r="E7">
        <v>7316800905</v>
      </c>
      <c r="F7">
        <v>1</v>
      </c>
      <c r="G7" t="s">
        <v>243</v>
      </c>
      <c r="H7" t="s">
        <v>184</v>
      </c>
      <c r="I7" t="s">
        <v>244</v>
      </c>
      <c r="J7" t="s">
        <v>245</v>
      </c>
      <c r="K7" t="s">
        <v>94</v>
      </c>
      <c r="L7">
        <v>1111046143</v>
      </c>
      <c r="M7">
        <v>2</v>
      </c>
      <c r="N7">
        <v>2</v>
      </c>
      <c r="O7">
        <v>170</v>
      </c>
      <c r="P7" t="s">
        <v>124</v>
      </c>
      <c r="Q7" t="s">
        <v>95</v>
      </c>
      <c r="R7">
        <v>1</v>
      </c>
      <c r="S7"/>
      <c r="T7">
        <v>1</v>
      </c>
      <c r="U7"/>
      <c r="V7">
        <v>170</v>
      </c>
      <c r="W7">
        <v>73</v>
      </c>
      <c r="X7">
        <v>168</v>
      </c>
      <c r="Y7">
        <v>1</v>
      </c>
      <c r="Z7" t="s">
        <v>226</v>
      </c>
      <c r="AA7"/>
      <c r="AB7"/>
      <c r="AC7" t="s">
        <v>226</v>
      </c>
      <c r="AD7" t="s">
        <v>226</v>
      </c>
      <c r="AE7"/>
      <c r="AF7"/>
      <c r="AG7" t="s">
        <v>132</v>
      </c>
      <c r="AH7" t="s">
        <v>96</v>
      </c>
      <c r="AI7" t="s">
        <v>145</v>
      </c>
      <c r="AJ7">
        <v>6</v>
      </c>
      <c r="AK7"/>
      <c r="AL7">
        <v>1</v>
      </c>
      <c r="AM7">
        <v>2</v>
      </c>
      <c r="AN7">
        <v>2</v>
      </c>
      <c r="AO7">
        <v>2</v>
      </c>
      <c r="AP7">
        <v>2</v>
      </c>
      <c r="AQ7">
        <v>2</v>
      </c>
      <c r="AR7"/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1</v>
      </c>
      <c r="AZ7">
        <v>1</v>
      </c>
      <c r="BA7">
        <v>170</v>
      </c>
      <c r="BB7">
        <v>73</v>
      </c>
      <c r="BC7">
        <v>168</v>
      </c>
      <c r="BD7" t="s">
        <v>246</v>
      </c>
      <c r="BE7" t="s">
        <v>231</v>
      </c>
      <c r="BF7">
        <v>2</v>
      </c>
      <c r="BG7">
        <v>2</v>
      </c>
      <c r="BH7" t="s">
        <v>97</v>
      </c>
      <c r="BI7">
        <v>1</v>
      </c>
      <c r="BJ7" t="s">
        <v>97</v>
      </c>
      <c r="BK7">
        <v>6</v>
      </c>
      <c r="BL7">
        <v>3226744954</v>
      </c>
      <c r="BM7" t="s">
        <v>247</v>
      </c>
      <c r="BN7"/>
      <c r="BO7"/>
      <c r="BP7">
        <v>731680090501</v>
      </c>
      <c r="BQ7" t="s">
        <v>125</v>
      </c>
      <c r="BR7" t="s">
        <v>97</v>
      </c>
      <c r="BS7" t="s">
        <v>218</v>
      </c>
      <c r="BT7">
        <v>3182240976</v>
      </c>
      <c r="BU7" t="s">
        <v>248</v>
      </c>
      <c r="BV7">
        <v>8907014594</v>
      </c>
      <c r="BW7"/>
      <c r="BX7"/>
      <c r="BY7"/>
      <c r="BZ7" t="s">
        <v>192</v>
      </c>
      <c r="CA7" t="s">
        <v>249</v>
      </c>
      <c r="CB7" t="s">
        <v>105</v>
      </c>
      <c r="CC7"/>
      <c r="CD7">
        <v>3</v>
      </c>
      <c r="CE7">
        <v>0</v>
      </c>
      <c r="CF7"/>
      <c r="CG7" t="s">
        <v>97</v>
      </c>
      <c r="CH7">
        <v>2</v>
      </c>
      <c r="CI7" t="s">
        <v>97</v>
      </c>
      <c r="CJ7"/>
      <c r="CK7">
        <v>1</v>
      </c>
      <c r="CL7">
        <v>1</v>
      </c>
      <c r="CM7">
        <v>1</v>
      </c>
      <c r="CN7">
        <v>5</v>
      </c>
      <c r="CO7">
        <v>2</v>
      </c>
      <c r="CP7">
        <v>2</v>
      </c>
      <c r="CQ7">
        <v>2</v>
      </c>
      <c r="CR7">
        <v>2</v>
      </c>
      <c r="CS7">
        <v>2</v>
      </c>
      <c r="CT7">
        <v>2</v>
      </c>
      <c r="CU7"/>
      <c r="CV7">
        <v>1</v>
      </c>
      <c r="CW7" t="s">
        <v>250</v>
      </c>
      <c r="CX7">
        <v>5</v>
      </c>
      <c r="CY7">
        <v>1</v>
      </c>
      <c r="CZ7" t="s">
        <v>251</v>
      </c>
      <c r="DA7" t="s">
        <v>99</v>
      </c>
      <c r="DB7" t="s">
        <v>125</v>
      </c>
      <c r="DC7" t="s">
        <v>124</v>
      </c>
      <c r="DD7" t="s">
        <v>100</v>
      </c>
      <c r="DE7" t="s">
        <v>126</v>
      </c>
      <c r="DF7" t="s">
        <v>124</v>
      </c>
      <c r="DG7" t="s">
        <v>100</v>
      </c>
      <c r="DH7" t="s">
        <v>126</v>
      </c>
      <c r="DI7" t="s">
        <v>100</v>
      </c>
      <c r="DJ7" t="s">
        <v>126</v>
      </c>
      <c r="DK7" t="s">
        <v>248</v>
      </c>
      <c r="DL7">
        <v>0</v>
      </c>
      <c r="DN7" s="2" t="str">
        <f t="shared" ref="DN7:DN16" si="2">IF(CZ7="  -   -",IF(CZ7="","ESPACIO","SIN FECHA"),IF(CZ7&gt;DO7,"INOPORTUNA","OPORTUNA"))</f>
        <v>INOPORTUNA</v>
      </c>
      <c r="DO7" s="4">
        <f t="shared" ref="DO7:DO16" si="3">IF(B7="","-",DATE(YEAR(B7),MONTH(B7),DAY(B7)+3))</f>
        <v>45814</v>
      </c>
    </row>
    <row r="8" spans="1:119" x14ac:dyDescent="0.15">
      <c r="A8">
        <v>800</v>
      </c>
      <c r="B8" t="s">
        <v>252</v>
      </c>
      <c r="C8">
        <v>22</v>
      </c>
      <c r="D8">
        <v>2025</v>
      </c>
      <c r="E8">
        <v>7316800905</v>
      </c>
      <c r="F8">
        <v>1</v>
      </c>
      <c r="G8" t="s">
        <v>253</v>
      </c>
      <c r="H8" t="s">
        <v>254</v>
      </c>
      <c r="I8" t="s">
        <v>255</v>
      </c>
      <c r="J8" t="s">
        <v>256</v>
      </c>
      <c r="K8" t="s">
        <v>94</v>
      </c>
      <c r="L8">
        <v>1106795527</v>
      </c>
      <c r="M8">
        <v>5</v>
      </c>
      <c r="N8">
        <v>2</v>
      </c>
      <c r="O8">
        <v>170</v>
      </c>
      <c r="P8" t="s">
        <v>124</v>
      </c>
      <c r="Q8" t="s">
        <v>95</v>
      </c>
      <c r="R8">
        <v>1</v>
      </c>
      <c r="T8">
        <v>1</v>
      </c>
      <c r="V8">
        <v>170</v>
      </c>
      <c r="W8">
        <v>73</v>
      </c>
      <c r="X8">
        <v>168</v>
      </c>
      <c r="Y8">
        <v>1</v>
      </c>
      <c r="Z8" t="s">
        <v>257</v>
      </c>
      <c r="AC8" t="s">
        <v>257</v>
      </c>
      <c r="AD8" t="s">
        <v>258</v>
      </c>
      <c r="AG8" t="s">
        <v>132</v>
      </c>
      <c r="AH8" t="s">
        <v>96</v>
      </c>
      <c r="AI8" t="s">
        <v>145</v>
      </c>
      <c r="AJ8">
        <v>6</v>
      </c>
      <c r="AL8">
        <v>1</v>
      </c>
      <c r="AM8">
        <v>2</v>
      </c>
      <c r="AN8">
        <v>2</v>
      </c>
      <c r="AO8">
        <v>2</v>
      </c>
      <c r="AP8">
        <v>2</v>
      </c>
      <c r="AQ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1</v>
      </c>
      <c r="AZ8">
        <v>1</v>
      </c>
      <c r="BA8">
        <v>170</v>
      </c>
      <c r="BB8">
        <v>73</v>
      </c>
      <c r="BC8">
        <v>168</v>
      </c>
      <c r="BD8" t="s">
        <v>259</v>
      </c>
      <c r="BE8" t="s">
        <v>260</v>
      </c>
      <c r="BF8">
        <v>2</v>
      </c>
      <c r="BG8">
        <v>2</v>
      </c>
      <c r="BH8" t="s">
        <v>97</v>
      </c>
      <c r="BI8">
        <v>1</v>
      </c>
      <c r="BJ8" t="s">
        <v>97</v>
      </c>
      <c r="BK8">
        <v>6</v>
      </c>
      <c r="BL8">
        <v>3124754500</v>
      </c>
      <c r="BM8" t="s">
        <v>261</v>
      </c>
      <c r="BP8">
        <v>731680090501</v>
      </c>
      <c r="BQ8" t="s">
        <v>125</v>
      </c>
      <c r="BR8" t="s">
        <v>97</v>
      </c>
      <c r="BS8" t="s">
        <v>262</v>
      </c>
      <c r="BT8">
        <v>2460077</v>
      </c>
      <c r="BU8" t="s">
        <v>229</v>
      </c>
      <c r="BV8">
        <v>8907014594</v>
      </c>
      <c r="BZ8" t="s">
        <v>192</v>
      </c>
      <c r="CA8" t="s">
        <v>263</v>
      </c>
      <c r="CB8" t="s">
        <v>264</v>
      </c>
      <c r="CC8" t="s">
        <v>265</v>
      </c>
      <c r="CD8">
        <v>2</v>
      </c>
      <c r="CE8">
        <v>2</v>
      </c>
      <c r="CF8">
        <v>2</v>
      </c>
      <c r="CG8" t="s">
        <v>266</v>
      </c>
      <c r="CH8">
        <v>2</v>
      </c>
      <c r="CI8" t="s">
        <v>97</v>
      </c>
      <c r="CK8">
        <v>1</v>
      </c>
      <c r="CL8">
        <v>3</v>
      </c>
      <c r="CM8">
        <v>1</v>
      </c>
      <c r="CN8">
        <v>2</v>
      </c>
      <c r="CO8">
        <v>1</v>
      </c>
      <c r="CP8">
        <v>1</v>
      </c>
      <c r="CQ8">
        <v>2</v>
      </c>
      <c r="CR8">
        <v>2</v>
      </c>
      <c r="CS8">
        <v>2</v>
      </c>
      <c r="CT8">
        <v>2</v>
      </c>
      <c r="CV8">
        <v>1</v>
      </c>
      <c r="CW8" t="s">
        <v>102</v>
      </c>
      <c r="CX8">
        <v>3</v>
      </c>
      <c r="CY8">
        <v>1</v>
      </c>
      <c r="CZ8" t="s">
        <v>188</v>
      </c>
      <c r="DA8" t="s">
        <v>99</v>
      </c>
      <c r="DB8" t="s">
        <v>125</v>
      </c>
      <c r="DC8" t="s">
        <v>124</v>
      </c>
      <c r="DD8" t="s">
        <v>100</v>
      </c>
      <c r="DE8" t="s">
        <v>126</v>
      </c>
      <c r="DF8" t="s">
        <v>124</v>
      </c>
      <c r="DG8" t="s">
        <v>100</v>
      </c>
      <c r="DH8" t="s">
        <v>126</v>
      </c>
      <c r="DI8" t="s">
        <v>100</v>
      </c>
      <c r="DJ8" t="s">
        <v>126</v>
      </c>
      <c r="DK8" t="s">
        <v>205</v>
      </c>
      <c r="DL8">
        <v>0</v>
      </c>
      <c r="DN8" s="2" t="str">
        <f t="shared" si="2"/>
        <v>INOPORTUNA</v>
      </c>
      <c r="DO8" s="4">
        <f t="shared" si="3"/>
        <v>45809</v>
      </c>
    </row>
    <row r="9" spans="1:119" x14ac:dyDescent="0.15">
      <c r="A9">
        <v>800</v>
      </c>
      <c r="B9" t="s">
        <v>219</v>
      </c>
      <c r="C9">
        <v>10</v>
      </c>
      <c r="D9">
        <v>2025</v>
      </c>
      <c r="E9">
        <v>7316800905</v>
      </c>
      <c r="F9">
        <v>1</v>
      </c>
      <c r="G9" t="s">
        <v>267</v>
      </c>
      <c r="I9" t="s">
        <v>268</v>
      </c>
      <c r="J9" t="s">
        <v>137</v>
      </c>
      <c r="K9" t="s">
        <v>94</v>
      </c>
      <c r="L9">
        <v>1106795515</v>
      </c>
      <c r="M9">
        <v>4</v>
      </c>
      <c r="N9">
        <v>1</v>
      </c>
      <c r="O9">
        <v>170</v>
      </c>
      <c r="P9" t="s">
        <v>124</v>
      </c>
      <c r="Q9" t="s">
        <v>95</v>
      </c>
      <c r="R9">
        <v>1</v>
      </c>
      <c r="T9">
        <v>1</v>
      </c>
      <c r="V9">
        <v>170</v>
      </c>
      <c r="W9">
        <v>73</v>
      </c>
      <c r="X9">
        <v>168</v>
      </c>
      <c r="Y9">
        <v>3</v>
      </c>
      <c r="AB9" t="s">
        <v>269</v>
      </c>
      <c r="AD9" t="s">
        <v>270</v>
      </c>
      <c r="AG9" t="s">
        <v>271</v>
      </c>
      <c r="AH9" t="s">
        <v>96</v>
      </c>
      <c r="AI9" t="s">
        <v>145</v>
      </c>
      <c r="AJ9">
        <v>6</v>
      </c>
      <c r="AL9">
        <v>1</v>
      </c>
      <c r="AM9">
        <v>2</v>
      </c>
      <c r="AN9">
        <v>2</v>
      </c>
      <c r="AO9">
        <v>2</v>
      </c>
      <c r="AP9">
        <v>2</v>
      </c>
      <c r="AQ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1</v>
      </c>
      <c r="AZ9">
        <v>2</v>
      </c>
      <c r="BA9">
        <v>170</v>
      </c>
      <c r="BB9">
        <v>73</v>
      </c>
      <c r="BC9">
        <v>168</v>
      </c>
      <c r="BD9" t="s">
        <v>272</v>
      </c>
      <c r="BE9" t="s">
        <v>273</v>
      </c>
      <c r="BF9">
        <v>2</v>
      </c>
      <c r="BG9">
        <v>1</v>
      </c>
      <c r="BH9" t="s">
        <v>272</v>
      </c>
      <c r="BI9">
        <v>1</v>
      </c>
      <c r="BJ9" t="s">
        <v>97</v>
      </c>
      <c r="BK9">
        <v>6</v>
      </c>
      <c r="BL9">
        <v>3184471676</v>
      </c>
      <c r="BM9" t="s">
        <v>274</v>
      </c>
      <c r="BP9">
        <v>731680090501</v>
      </c>
      <c r="BQ9" t="s">
        <v>125</v>
      </c>
      <c r="BR9" t="s">
        <v>97</v>
      </c>
      <c r="BS9" t="s">
        <v>275</v>
      </c>
      <c r="BT9">
        <v>2460077</v>
      </c>
      <c r="BU9" t="s">
        <v>219</v>
      </c>
      <c r="BV9">
        <v>8907014594</v>
      </c>
      <c r="BZ9" t="s">
        <v>192</v>
      </c>
      <c r="CA9" t="s">
        <v>276</v>
      </c>
      <c r="CB9" t="s">
        <v>105</v>
      </c>
      <c r="CC9" t="s">
        <v>277</v>
      </c>
      <c r="CD9">
        <v>4</v>
      </c>
      <c r="CE9">
        <v>1</v>
      </c>
      <c r="CF9">
        <v>1</v>
      </c>
      <c r="CG9" t="s">
        <v>278</v>
      </c>
      <c r="CH9">
        <v>2</v>
      </c>
      <c r="CI9" t="s">
        <v>97</v>
      </c>
      <c r="CK9">
        <v>1</v>
      </c>
      <c r="CL9">
        <v>1</v>
      </c>
      <c r="CM9">
        <v>1</v>
      </c>
      <c r="CN9">
        <v>6</v>
      </c>
      <c r="CO9">
        <v>1</v>
      </c>
      <c r="CP9">
        <v>2</v>
      </c>
      <c r="CQ9">
        <v>2</v>
      </c>
      <c r="CR9">
        <v>2</v>
      </c>
      <c r="CS9">
        <v>2</v>
      </c>
      <c r="CT9">
        <v>2</v>
      </c>
      <c r="CV9">
        <v>1</v>
      </c>
      <c r="CW9" t="s">
        <v>102</v>
      </c>
      <c r="CX9">
        <v>3</v>
      </c>
      <c r="CY9">
        <v>1</v>
      </c>
      <c r="CZ9" t="s">
        <v>279</v>
      </c>
      <c r="DA9" t="s">
        <v>99</v>
      </c>
      <c r="DB9" t="s">
        <v>125</v>
      </c>
      <c r="DC9" t="s">
        <v>124</v>
      </c>
      <c r="DD9" t="s">
        <v>100</v>
      </c>
      <c r="DE9" t="s">
        <v>126</v>
      </c>
      <c r="DF9" t="s">
        <v>124</v>
      </c>
      <c r="DG9" t="s">
        <v>100</v>
      </c>
      <c r="DH9" t="s">
        <v>126</v>
      </c>
      <c r="DI9" t="s">
        <v>100</v>
      </c>
      <c r="DJ9" t="s">
        <v>126</v>
      </c>
      <c r="DK9" t="s">
        <v>280</v>
      </c>
      <c r="DL9">
        <v>0</v>
      </c>
      <c r="DN9" s="2" t="str">
        <f t="shared" si="2"/>
        <v>INOPORTUNA</v>
      </c>
      <c r="DO9" s="4">
        <f t="shared" si="3"/>
        <v>45780</v>
      </c>
    </row>
    <row r="10" spans="1:119" x14ac:dyDescent="0.15">
      <c r="A10">
        <v>800</v>
      </c>
      <c r="B10" t="s">
        <v>281</v>
      </c>
      <c r="C10">
        <v>19</v>
      </c>
      <c r="D10">
        <v>2025</v>
      </c>
      <c r="E10">
        <v>7316800905</v>
      </c>
      <c r="F10">
        <v>1</v>
      </c>
      <c r="G10" t="s">
        <v>282</v>
      </c>
      <c r="H10" t="s">
        <v>155</v>
      </c>
      <c r="I10" t="s">
        <v>283</v>
      </c>
      <c r="J10" t="s">
        <v>139</v>
      </c>
      <c r="K10" t="s">
        <v>94</v>
      </c>
      <c r="L10">
        <v>1106795619</v>
      </c>
      <c r="M10">
        <v>2</v>
      </c>
      <c r="N10">
        <v>2</v>
      </c>
      <c r="O10">
        <v>170</v>
      </c>
      <c r="P10" t="s">
        <v>124</v>
      </c>
      <c r="Q10" t="s">
        <v>101</v>
      </c>
      <c r="V10">
        <v>170</v>
      </c>
      <c r="W10">
        <v>73</v>
      </c>
      <c r="X10">
        <v>168</v>
      </c>
      <c r="Y10">
        <v>1</v>
      </c>
      <c r="Z10" t="s">
        <v>126</v>
      </c>
      <c r="AC10" t="s">
        <v>140</v>
      </c>
      <c r="AD10" t="s">
        <v>284</v>
      </c>
      <c r="AG10" t="s">
        <v>132</v>
      </c>
      <c r="AH10" t="s">
        <v>96</v>
      </c>
      <c r="AI10" t="s">
        <v>145</v>
      </c>
      <c r="AJ10">
        <v>6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1</v>
      </c>
      <c r="AZ10">
        <v>1</v>
      </c>
      <c r="BA10">
        <v>170</v>
      </c>
      <c r="BB10">
        <v>73</v>
      </c>
      <c r="BC10">
        <v>168</v>
      </c>
      <c r="BD10" t="s">
        <v>227</v>
      </c>
      <c r="BE10" t="s">
        <v>285</v>
      </c>
      <c r="BF10">
        <v>2</v>
      </c>
      <c r="BG10">
        <v>1</v>
      </c>
      <c r="BH10" t="s">
        <v>227</v>
      </c>
      <c r="BI10">
        <v>1</v>
      </c>
      <c r="BJ10" t="s">
        <v>97</v>
      </c>
      <c r="BK10">
        <v>6</v>
      </c>
      <c r="BL10">
        <v>3249064134</v>
      </c>
      <c r="BM10" t="s">
        <v>286</v>
      </c>
      <c r="BP10">
        <v>731680090501</v>
      </c>
      <c r="BQ10" t="s">
        <v>125</v>
      </c>
      <c r="BR10" t="s">
        <v>97</v>
      </c>
      <c r="BS10" t="s">
        <v>287</v>
      </c>
      <c r="BT10">
        <v>3216817162</v>
      </c>
      <c r="BU10" t="s">
        <v>229</v>
      </c>
      <c r="BV10">
        <v>8907014594</v>
      </c>
      <c r="BZ10" t="s">
        <v>192</v>
      </c>
      <c r="CA10" t="s">
        <v>288</v>
      </c>
      <c r="CB10" t="s">
        <v>105</v>
      </c>
      <c r="CC10">
        <v>1106771848</v>
      </c>
      <c r="CD10">
        <v>3</v>
      </c>
      <c r="CE10">
        <v>1</v>
      </c>
      <c r="CF10">
        <v>2</v>
      </c>
      <c r="CG10" t="s">
        <v>219</v>
      </c>
      <c r="CH10">
        <v>1</v>
      </c>
      <c r="CI10" t="s">
        <v>219</v>
      </c>
      <c r="CJ10">
        <v>37</v>
      </c>
      <c r="CK10">
        <v>1</v>
      </c>
      <c r="CL10">
        <v>2</v>
      </c>
      <c r="CM10">
        <v>1</v>
      </c>
      <c r="CN10">
        <v>8</v>
      </c>
      <c r="CO10">
        <v>2</v>
      </c>
      <c r="CP10">
        <v>1</v>
      </c>
      <c r="CQ10">
        <v>2</v>
      </c>
      <c r="CR10">
        <v>2</v>
      </c>
      <c r="CS10">
        <v>1</v>
      </c>
      <c r="CT10">
        <v>2</v>
      </c>
      <c r="CV10">
        <v>1</v>
      </c>
      <c r="CW10" t="s">
        <v>102</v>
      </c>
      <c r="CX10">
        <v>5</v>
      </c>
      <c r="CY10">
        <v>1</v>
      </c>
      <c r="CZ10" t="s">
        <v>289</v>
      </c>
      <c r="DA10" t="s">
        <v>99</v>
      </c>
      <c r="DB10" t="s">
        <v>125</v>
      </c>
      <c r="DC10" t="s">
        <v>124</v>
      </c>
      <c r="DD10" t="s">
        <v>100</v>
      </c>
      <c r="DE10" t="s">
        <v>126</v>
      </c>
      <c r="DF10" t="s">
        <v>124</v>
      </c>
      <c r="DG10" t="s">
        <v>100</v>
      </c>
      <c r="DH10" t="s">
        <v>126</v>
      </c>
      <c r="DI10" t="s">
        <v>100</v>
      </c>
      <c r="DJ10" t="s">
        <v>126</v>
      </c>
      <c r="DK10" t="s">
        <v>280</v>
      </c>
      <c r="DL10">
        <v>0</v>
      </c>
      <c r="DN10" s="2" t="str">
        <f t="shared" si="2"/>
        <v>INOPORTUNA</v>
      </c>
      <c r="DO10" s="4">
        <f t="shared" si="3"/>
        <v>45798</v>
      </c>
    </row>
    <row r="11" spans="1:119" x14ac:dyDescent="0.15">
      <c r="A11">
        <v>800</v>
      </c>
      <c r="B11" t="s">
        <v>290</v>
      </c>
      <c r="C11">
        <v>29</v>
      </c>
      <c r="D11">
        <v>2025</v>
      </c>
      <c r="E11">
        <v>7316800905</v>
      </c>
      <c r="F11">
        <v>1</v>
      </c>
      <c r="G11" t="s">
        <v>291</v>
      </c>
      <c r="H11" t="s">
        <v>292</v>
      </c>
      <c r="I11" t="s">
        <v>137</v>
      </c>
      <c r="J11" t="s">
        <v>293</v>
      </c>
      <c r="K11" t="s">
        <v>94</v>
      </c>
      <c r="L11">
        <v>1106795679</v>
      </c>
      <c r="M11">
        <v>2</v>
      </c>
      <c r="N11">
        <v>2</v>
      </c>
      <c r="O11">
        <v>170</v>
      </c>
      <c r="P11" t="s">
        <v>124</v>
      </c>
      <c r="Q11" t="s">
        <v>95</v>
      </c>
      <c r="V11">
        <v>170</v>
      </c>
      <c r="W11">
        <v>73</v>
      </c>
      <c r="X11">
        <v>168</v>
      </c>
      <c r="Y11">
        <v>1</v>
      </c>
      <c r="Z11" t="s">
        <v>294</v>
      </c>
      <c r="AC11" t="s">
        <v>295</v>
      </c>
      <c r="AD11" t="s">
        <v>294</v>
      </c>
      <c r="AG11" t="s">
        <v>132</v>
      </c>
      <c r="AH11" t="s">
        <v>96</v>
      </c>
      <c r="AI11" t="s">
        <v>178</v>
      </c>
      <c r="AJ11">
        <v>6</v>
      </c>
      <c r="AL11">
        <v>1</v>
      </c>
      <c r="AM11">
        <v>2</v>
      </c>
      <c r="AN11">
        <v>2</v>
      </c>
      <c r="AO11">
        <v>2</v>
      </c>
      <c r="AP11">
        <v>2</v>
      </c>
      <c r="AQ11">
        <v>2</v>
      </c>
      <c r="AS11">
        <v>2</v>
      </c>
      <c r="AT11">
        <v>2</v>
      </c>
      <c r="AU11">
        <v>2</v>
      </c>
      <c r="AV11">
        <v>2</v>
      </c>
      <c r="AW11">
        <v>2</v>
      </c>
      <c r="AX11">
        <v>2</v>
      </c>
      <c r="AY11">
        <v>1</v>
      </c>
      <c r="AZ11">
        <v>1</v>
      </c>
      <c r="BA11">
        <v>170</v>
      </c>
      <c r="BB11">
        <v>73</v>
      </c>
      <c r="BC11">
        <v>168</v>
      </c>
      <c r="BD11" t="s">
        <v>296</v>
      </c>
      <c r="BE11" t="s">
        <v>297</v>
      </c>
      <c r="BF11">
        <v>2</v>
      </c>
      <c r="BG11">
        <v>1</v>
      </c>
      <c r="BH11" t="s">
        <v>298</v>
      </c>
      <c r="BI11">
        <v>1</v>
      </c>
      <c r="BJ11" t="s">
        <v>97</v>
      </c>
      <c r="BK11">
        <v>6</v>
      </c>
      <c r="BL11">
        <v>3112114548</v>
      </c>
      <c r="BM11" t="s">
        <v>299</v>
      </c>
      <c r="BP11">
        <v>731680090501</v>
      </c>
      <c r="BQ11" t="s">
        <v>125</v>
      </c>
      <c r="BR11" t="s">
        <v>97</v>
      </c>
      <c r="BS11" t="s">
        <v>218</v>
      </c>
      <c r="BT11">
        <v>3182240976</v>
      </c>
      <c r="BU11" t="s">
        <v>300</v>
      </c>
      <c r="BV11">
        <v>8907014594</v>
      </c>
      <c r="BZ11" t="s">
        <v>192</v>
      </c>
      <c r="CA11" t="s">
        <v>301</v>
      </c>
      <c r="CB11" t="s">
        <v>105</v>
      </c>
      <c r="CD11">
        <v>3</v>
      </c>
      <c r="CE11">
        <v>0</v>
      </c>
      <c r="CG11" t="s">
        <v>97</v>
      </c>
      <c r="CH11">
        <v>2</v>
      </c>
      <c r="CI11" t="s">
        <v>97</v>
      </c>
      <c r="CK11">
        <v>1</v>
      </c>
      <c r="CL11">
        <v>1</v>
      </c>
      <c r="CM11">
        <v>2</v>
      </c>
      <c r="CO11">
        <v>2</v>
      </c>
      <c r="CP11">
        <v>2</v>
      </c>
      <c r="CQ11">
        <v>2</v>
      </c>
      <c r="CR11">
        <v>2</v>
      </c>
      <c r="CS11">
        <v>2</v>
      </c>
      <c r="CT11">
        <v>2</v>
      </c>
      <c r="CV11">
        <v>2</v>
      </c>
      <c r="CY11">
        <v>2</v>
      </c>
      <c r="CZ11" s="8" t="s">
        <v>97</v>
      </c>
      <c r="DA11" t="s">
        <v>99</v>
      </c>
      <c r="DB11" t="s">
        <v>125</v>
      </c>
      <c r="DC11" t="s">
        <v>124</v>
      </c>
      <c r="DD11" t="s">
        <v>100</v>
      </c>
      <c r="DE11" t="s">
        <v>126</v>
      </c>
      <c r="DF11" t="s">
        <v>124</v>
      </c>
      <c r="DG11" t="s">
        <v>100</v>
      </c>
      <c r="DH11" t="s">
        <v>126</v>
      </c>
      <c r="DI11" t="s">
        <v>100</v>
      </c>
      <c r="DJ11" t="s">
        <v>126</v>
      </c>
      <c r="DK11" t="s">
        <v>300</v>
      </c>
      <c r="DL11">
        <v>0</v>
      </c>
      <c r="DN11" s="2" t="str">
        <f t="shared" si="2"/>
        <v>SIN FECHA</v>
      </c>
      <c r="DO11" s="4">
        <f t="shared" si="3"/>
        <v>45863</v>
      </c>
    </row>
    <row r="12" spans="1:119" x14ac:dyDescent="0.15">
      <c r="A12">
        <v>800</v>
      </c>
      <c r="B12" t="s">
        <v>290</v>
      </c>
      <c r="C12">
        <v>29</v>
      </c>
      <c r="D12">
        <v>2025</v>
      </c>
      <c r="E12">
        <v>7316800905</v>
      </c>
      <c r="F12">
        <v>1</v>
      </c>
      <c r="G12" t="s">
        <v>302</v>
      </c>
      <c r="H12" t="s">
        <v>303</v>
      </c>
      <c r="I12" t="s">
        <v>283</v>
      </c>
      <c r="J12" t="s">
        <v>159</v>
      </c>
      <c r="K12" t="s">
        <v>94</v>
      </c>
      <c r="L12">
        <v>1106794197</v>
      </c>
      <c r="M12">
        <v>2</v>
      </c>
      <c r="N12">
        <v>1</v>
      </c>
      <c r="O12">
        <v>170</v>
      </c>
      <c r="P12" t="s">
        <v>124</v>
      </c>
      <c r="Q12" t="s">
        <v>95</v>
      </c>
      <c r="R12">
        <v>1</v>
      </c>
      <c r="T12">
        <v>1</v>
      </c>
      <c r="V12">
        <v>170</v>
      </c>
      <c r="W12">
        <v>73</v>
      </c>
      <c r="X12">
        <v>168</v>
      </c>
      <c r="Y12">
        <v>1</v>
      </c>
      <c r="Z12" t="s">
        <v>304</v>
      </c>
      <c r="AC12" t="s">
        <v>305</v>
      </c>
      <c r="AD12" t="s">
        <v>306</v>
      </c>
      <c r="AG12" t="s">
        <v>132</v>
      </c>
      <c r="AH12" t="s">
        <v>96</v>
      </c>
      <c r="AI12" t="s">
        <v>147</v>
      </c>
      <c r="AJ12">
        <v>6</v>
      </c>
      <c r="AL12">
        <v>1</v>
      </c>
      <c r="AM12">
        <v>2</v>
      </c>
      <c r="AN12">
        <v>2</v>
      </c>
      <c r="AO12">
        <v>2</v>
      </c>
      <c r="AP12">
        <v>2</v>
      </c>
      <c r="AQ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1</v>
      </c>
      <c r="AZ12">
        <v>1</v>
      </c>
      <c r="BA12">
        <v>170</v>
      </c>
      <c r="BB12">
        <v>73</v>
      </c>
      <c r="BC12">
        <v>168</v>
      </c>
      <c r="BD12" t="s">
        <v>290</v>
      </c>
      <c r="BE12" t="s">
        <v>298</v>
      </c>
      <c r="BF12">
        <v>2</v>
      </c>
      <c r="BG12">
        <v>2</v>
      </c>
      <c r="BH12" t="s">
        <v>97</v>
      </c>
      <c r="BI12">
        <v>1</v>
      </c>
      <c r="BJ12" t="s">
        <v>97</v>
      </c>
      <c r="BK12">
        <v>6</v>
      </c>
      <c r="BL12">
        <v>3025097780</v>
      </c>
      <c r="BM12" t="s">
        <v>307</v>
      </c>
      <c r="BP12">
        <v>731680090501</v>
      </c>
      <c r="BQ12" t="s">
        <v>125</v>
      </c>
      <c r="BR12" t="s">
        <v>97</v>
      </c>
      <c r="BS12" t="s">
        <v>308</v>
      </c>
      <c r="BT12">
        <v>3182240976</v>
      </c>
      <c r="BU12" t="s">
        <v>300</v>
      </c>
      <c r="BV12">
        <v>8907014594</v>
      </c>
      <c r="BZ12" t="s">
        <v>192</v>
      </c>
      <c r="CA12" t="s">
        <v>309</v>
      </c>
      <c r="CB12" t="s">
        <v>105</v>
      </c>
      <c r="CD12">
        <v>3</v>
      </c>
      <c r="CE12">
        <v>2</v>
      </c>
      <c r="CG12" t="s">
        <v>97</v>
      </c>
      <c r="CH12">
        <v>2</v>
      </c>
      <c r="CI12" t="s">
        <v>97</v>
      </c>
      <c r="CK12">
        <v>1</v>
      </c>
      <c r="CL12">
        <v>1</v>
      </c>
      <c r="CM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2</v>
      </c>
      <c r="CV12">
        <v>2</v>
      </c>
      <c r="CY12">
        <v>2</v>
      </c>
      <c r="CZ12" s="8" t="s">
        <v>97</v>
      </c>
      <c r="DA12" t="s">
        <v>99</v>
      </c>
      <c r="DB12" t="s">
        <v>125</v>
      </c>
      <c r="DC12" t="s">
        <v>124</v>
      </c>
      <c r="DD12" t="s">
        <v>100</v>
      </c>
      <c r="DE12" t="s">
        <v>126</v>
      </c>
      <c r="DF12" t="s">
        <v>124</v>
      </c>
      <c r="DG12" t="s">
        <v>100</v>
      </c>
      <c r="DH12" t="s">
        <v>126</v>
      </c>
      <c r="DI12" t="s">
        <v>100</v>
      </c>
      <c r="DJ12" t="s">
        <v>126</v>
      </c>
      <c r="DK12" t="s">
        <v>300</v>
      </c>
      <c r="DL12">
        <v>0</v>
      </c>
      <c r="DN12" s="2" t="str">
        <f t="shared" si="2"/>
        <v>SIN FECHA</v>
      </c>
      <c r="DO12" s="4">
        <f t="shared" si="3"/>
        <v>45863</v>
      </c>
    </row>
    <row r="13" spans="1:119" x14ac:dyDescent="0.15">
      <c r="A13">
        <v>800</v>
      </c>
      <c r="B13" t="s">
        <v>310</v>
      </c>
      <c r="C13">
        <v>13</v>
      </c>
      <c r="D13">
        <v>2025</v>
      </c>
      <c r="E13">
        <v>7300101047</v>
      </c>
      <c r="F13">
        <v>1</v>
      </c>
      <c r="G13" t="s">
        <v>233</v>
      </c>
      <c r="H13" t="s">
        <v>311</v>
      </c>
      <c r="I13" t="s">
        <v>312</v>
      </c>
      <c r="J13" t="s">
        <v>313</v>
      </c>
      <c r="K13" t="s">
        <v>94</v>
      </c>
      <c r="L13">
        <v>1104615927</v>
      </c>
      <c r="M13">
        <v>2</v>
      </c>
      <c r="N13">
        <v>2</v>
      </c>
      <c r="O13">
        <v>170</v>
      </c>
      <c r="P13" t="s">
        <v>124</v>
      </c>
      <c r="Q13" t="s">
        <v>95</v>
      </c>
      <c r="R13">
        <v>1</v>
      </c>
      <c r="T13">
        <v>1</v>
      </c>
      <c r="V13">
        <v>170</v>
      </c>
      <c r="W13">
        <v>73</v>
      </c>
      <c r="X13">
        <v>124</v>
      </c>
      <c r="Y13">
        <v>1</v>
      </c>
      <c r="Z13" t="s">
        <v>130</v>
      </c>
      <c r="AC13" t="s">
        <v>314</v>
      </c>
      <c r="AD13" t="s">
        <v>315</v>
      </c>
      <c r="AG13" t="s">
        <v>132</v>
      </c>
      <c r="AH13" t="s">
        <v>316</v>
      </c>
      <c r="AI13" t="s">
        <v>317</v>
      </c>
      <c r="AJ13">
        <v>6</v>
      </c>
      <c r="AL13">
        <v>2</v>
      </c>
      <c r="AM13">
        <v>2</v>
      </c>
      <c r="AN13">
        <v>2</v>
      </c>
      <c r="AO13">
        <v>2</v>
      </c>
      <c r="AP13">
        <v>2</v>
      </c>
      <c r="AQ13">
        <v>2</v>
      </c>
      <c r="AS13">
        <v>2</v>
      </c>
      <c r="AT13">
        <v>2</v>
      </c>
      <c r="AU13">
        <v>2</v>
      </c>
      <c r="AV13">
        <v>2</v>
      </c>
      <c r="AW13">
        <v>2</v>
      </c>
      <c r="AX13">
        <v>2</v>
      </c>
      <c r="AY13">
        <v>1</v>
      </c>
      <c r="AZ13">
        <v>1</v>
      </c>
      <c r="BA13">
        <v>170</v>
      </c>
      <c r="BB13">
        <v>73</v>
      </c>
      <c r="BC13">
        <v>124</v>
      </c>
      <c r="BD13" t="s">
        <v>318</v>
      </c>
      <c r="BE13" t="s">
        <v>319</v>
      </c>
      <c r="BF13">
        <v>2</v>
      </c>
      <c r="BG13">
        <v>1</v>
      </c>
      <c r="BH13" t="s">
        <v>318</v>
      </c>
      <c r="BI13">
        <v>1</v>
      </c>
      <c r="BJ13" t="s">
        <v>97</v>
      </c>
      <c r="BK13">
        <v>6</v>
      </c>
      <c r="BL13">
        <v>3214606130</v>
      </c>
      <c r="BM13" t="s">
        <v>320</v>
      </c>
      <c r="BP13">
        <v>730010104701</v>
      </c>
      <c r="BQ13" t="s">
        <v>143</v>
      </c>
      <c r="BR13" t="s">
        <v>97</v>
      </c>
      <c r="BS13" t="s">
        <v>321</v>
      </c>
      <c r="BT13">
        <v>2739805</v>
      </c>
      <c r="BU13" t="s">
        <v>299</v>
      </c>
      <c r="BV13">
        <v>8907068339</v>
      </c>
      <c r="BZ13" t="s">
        <v>220</v>
      </c>
      <c r="CA13" t="s">
        <v>322</v>
      </c>
      <c r="CB13" t="s">
        <v>105</v>
      </c>
      <c r="CC13">
        <v>1105614974</v>
      </c>
      <c r="CD13">
        <v>3</v>
      </c>
      <c r="CE13">
        <v>0</v>
      </c>
      <c r="CG13" t="s">
        <v>97</v>
      </c>
      <c r="CH13">
        <v>2</v>
      </c>
      <c r="CI13" t="s">
        <v>97</v>
      </c>
      <c r="CK13">
        <v>1</v>
      </c>
      <c r="CL13">
        <v>1</v>
      </c>
      <c r="CM13">
        <v>1</v>
      </c>
      <c r="CN13">
        <v>7</v>
      </c>
      <c r="CO13">
        <v>1</v>
      </c>
      <c r="CP13">
        <v>2</v>
      </c>
      <c r="CQ13">
        <v>2</v>
      </c>
      <c r="CR13">
        <v>1</v>
      </c>
      <c r="CS13">
        <v>1</v>
      </c>
      <c r="CT13">
        <v>1</v>
      </c>
      <c r="CU13">
        <v>4</v>
      </c>
      <c r="CV13">
        <v>1</v>
      </c>
      <c r="CW13" t="s">
        <v>98</v>
      </c>
      <c r="CX13">
        <v>7</v>
      </c>
      <c r="CY13">
        <v>2</v>
      </c>
      <c r="CZ13" s="8" t="s">
        <v>97</v>
      </c>
      <c r="DA13" t="s">
        <v>99</v>
      </c>
      <c r="DB13" t="s">
        <v>143</v>
      </c>
      <c r="DC13" t="s">
        <v>124</v>
      </c>
      <c r="DD13" t="s">
        <v>100</v>
      </c>
      <c r="DE13" t="s">
        <v>176</v>
      </c>
      <c r="DF13" t="s">
        <v>124</v>
      </c>
      <c r="DG13" t="s">
        <v>100</v>
      </c>
      <c r="DH13" t="s">
        <v>176</v>
      </c>
      <c r="DI13" t="s">
        <v>100</v>
      </c>
      <c r="DJ13" t="s">
        <v>131</v>
      </c>
      <c r="DK13" t="s">
        <v>299</v>
      </c>
      <c r="DL13">
        <v>0</v>
      </c>
      <c r="DN13" s="2" t="str">
        <f t="shared" si="2"/>
        <v>SIN FECHA</v>
      </c>
      <c r="DO13" s="4">
        <f t="shared" si="3"/>
        <v>45754</v>
      </c>
    </row>
    <row r="14" spans="1:119" x14ac:dyDescent="0.15">
      <c r="A14">
        <v>800</v>
      </c>
      <c r="B14" t="s">
        <v>323</v>
      </c>
      <c r="C14">
        <v>5</v>
      </c>
      <c r="D14">
        <v>2025</v>
      </c>
      <c r="E14">
        <v>1100105681</v>
      </c>
      <c r="F14">
        <v>1</v>
      </c>
      <c r="G14" t="s">
        <v>302</v>
      </c>
      <c r="H14" t="s">
        <v>177</v>
      </c>
      <c r="I14" t="s">
        <v>324</v>
      </c>
      <c r="J14" t="s">
        <v>224</v>
      </c>
      <c r="K14" t="s">
        <v>94</v>
      </c>
      <c r="L14">
        <v>1030292114</v>
      </c>
      <c r="M14">
        <v>5</v>
      </c>
      <c r="N14">
        <v>2</v>
      </c>
      <c r="O14">
        <v>170</v>
      </c>
      <c r="P14" t="s">
        <v>124</v>
      </c>
      <c r="Q14" t="s">
        <v>95</v>
      </c>
      <c r="R14">
        <v>1</v>
      </c>
      <c r="T14">
        <v>1</v>
      </c>
      <c r="V14">
        <v>170</v>
      </c>
      <c r="W14">
        <v>73</v>
      </c>
      <c r="X14">
        <v>1</v>
      </c>
      <c r="Y14">
        <v>1</v>
      </c>
      <c r="Z14" t="s">
        <v>134</v>
      </c>
      <c r="AC14" t="s">
        <v>175</v>
      </c>
      <c r="AD14" t="s">
        <v>325</v>
      </c>
      <c r="AG14" t="s">
        <v>132</v>
      </c>
      <c r="AH14" t="s">
        <v>96</v>
      </c>
      <c r="AI14" t="s">
        <v>145</v>
      </c>
      <c r="AJ14">
        <v>6</v>
      </c>
      <c r="AL14">
        <v>1</v>
      </c>
      <c r="AM14">
        <v>2</v>
      </c>
      <c r="AN14">
        <v>2</v>
      </c>
      <c r="AO14">
        <v>2</v>
      </c>
      <c r="AP14">
        <v>2</v>
      </c>
      <c r="AQ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1</v>
      </c>
      <c r="AZ14">
        <v>1</v>
      </c>
      <c r="BA14">
        <v>170</v>
      </c>
      <c r="BB14">
        <v>73</v>
      </c>
      <c r="BC14">
        <v>1</v>
      </c>
      <c r="BD14" t="s">
        <v>323</v>
      </c>
      <c r="BE14" t="s">
        <v>326</v>
      </c>
      <c r="BF14">
        <v>2</v>
      </c>
      <c r="BG14">
        <v>1</v>
      </c>
      <c r="BH14" t="s">
        <v>323</v>
      </c>
      <c r="BI14">
        <v>1</v>
      </c>
      <c r="BJ14" t="s">
        <v>97</v>
      </c>
      <c r="BK14">
        <v>6</v>
      </c>
      <c r="BL14">
        <v>3208682034</v>
      </c>
      <c r="BM14" t="s">
        <v>181</v>
      </c>
      <c r="BP14">
        <v>110010140014</v>
      </c>
      <c r="BQ14" t="s">
        <v>327</v>
      </c>
      <c r="BR14" t="s">
        <v>97</v>
      </c>
      <c r="BS14" t="s">
        <v>328</v>
      </c>
      <c r="BT14">
        <v>3811970</v>
      </c>
      <c r="BU14" t="s">
        <v>278</v>
      </c>
      <c r="BV14">
        <v>8999991237</v>
      </c>
      <c r="BZ14" t="s">
        <v>329</v>
      </c>
      <c r="CA14" t="s">
        <v>330</v>
      </c>
      <c r="CB14" t="s">
        <v>105</v>
      </c>
      <c r="CC14">
        <v>1110529638</v>
      </c>
      <c r="CD14">
        <v>3</v>
      </c>
      <c r="CE14">
        <v>1</v>
      </c>
      <c r="CF14">
        <v>2</v>
      </c>
      <c r="CG14" t="s">
        <v>331</v>
      </c>
      <c r="CH14">
        <v>2</v>
      </c>
      <c r="CI14" t="s">
        <v>97</v>
      </c>
      <c r="CK14">
        <v>1</v>
      </c>
      <c r="CL14">
        <v>1</v>
      </c>
      <c r="CM14">
        <v>1</v>
      </c>
      <c r="CN14">
        <v>8</v>
      </c>
      <c r="CO14">
        <v>2</v>
      </c>
      <c r="CP14">
        <v>2</v>
      </c>
      <c r="CQ14">
        <v>2</v>
      </c>
      <c r="CR14">
        <v>1</v>
      </c>
      <c r="CS14">
        <v>2</v>
      </c>
      <c r="CT14">
        <v>1</v>
      </c>
      <c r="CU14">
        <v>5</v>
      </c>
      <c r="CV14">
        <v>1</v>
      </c>
      <c r="CW14" t="s">
        <v>102</v>
      </c>
      <c r="CX14">
        <v>5</v>
      </c>
      <c r="CY14">
        <v>2</v>
      </c>
      <c r="CZ14" s="8" t="s">
        <v>97</v>
      </c>
      <c r="DA14" t="s">
        <v>99</v>
      </c>
      <c r="DB14" t="s">
        <v>332</v>
      </c>
      <c r="DC14" t="s">
        <v>124</v>
      </c>
      <c r="DD14" t="s">
        <v>100</v>
      </c>
      <c r="DE14" t="s">
        <v>131</v>
      </c>
      <c r="DF14" t="s">
        <v>124</v>
      </c>
      <c r="DG14" t="s">
        <v>100</v>
      </c>
      <c r="DH14" t="s">
        <v>131</v>
      </c>
      <c r="DI14" t="s">
        <v>136</v>
      </c>
      <c r="DJ14" t="s">
        <v>136</v>
      </c>
      <c r="DK14" t="s">
        <v>278</v>
      </c>
      <c r="DL14">
        <v>0</v>
      </c>
      <c r="DN14" s="2" t="str">
        <f t="shared" si="2"/>
        <v>SIN FECHA</v>
      </c>
      <c r="DO14" s="4">
        <f t="shared" si="3"/>
        <v>45697</v>
      </c>
    </row>
    <row r="15" spans="1:119" x14ac:dyDescent="0.15">
      <c r="A15">
        <v>800</v>
      </c>
      <c r="B15" t="s">
        <v>333</v>
      </c>
      <c r="C15">
        <v>25</v>
      </c>
      <c r="D15">
        <v>2025</v>
      </c>
      <c r="E15">
        <v>7300102417</v>
      </c>
      <c r="F15">
        <v>1</v>
      </c>
      <c r="G15" t="s">
        <v>174</v>
      </c>
      <c r="I15" t="s">
        <v>334</v>
      </c>
      <c r="J15" t="s">
        <v>335</v>
      </c>
      <c r="K15" t="s">
        <v>94</v>
      </c>
      <c r="L15">
        <v>1110609114</v>
      </c>
      <c r="M15">
        <v>3</v>
      </c>
      <c r="N15">
        <v>1</v>
      </c>
      <c r="O15">
        <v>170</v>
      </c>
      <c r="P15" t="s">
        <v>124</v>
      </c>
      <c r="Q15" t="s">
        <v>101</v>
      </c>
      <c r="R15">
        <v>2</v>
      </c>
      <c r="T15">
        <v>1</v>
      </c>
      <c r="V15">
        <v>170</v>
      </c>
      <c r="W15">
        <v>73</v>
      </c>
      <c r="X15">
        <v>1</v>
      </c>
      <c r="Y15">
        <v>3</v>
      </c>
      <c r="AB15" t="s">
        <v>336</v>
      </c>
      <c r="AD15" t="s">
        <v>336</v>
      </c>
      <c r="AG15" t="s">
        <v>132</v>
      </c>
      <c r="AH15" t="s">
        <v>127</v>
      </c>
      <c r="AI15" t="s">
        <v>337</v>
      </c>
      <c r="AJ15">
        <v>6</v>
      </c>
      <c r="AL15">
        <v>1</v>
      </c>
      <c r="AM15">
        <v>2</v>
      </c>
      <c r="AN15">
        <v>2</v>
      </c>
      <c r="AO15">
        <v>2</v>
      </c>
      <c r="AP15">
        <v>2</v>
      </c>
      <c r="AQ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1</v>
      </c>
      <c r="AZ15">
        <v>1</v>
      </c>
      <c r="BA15">
        <v>170</v>
      </c>
      <c r="BB15">
        <v>73</v>
      </c>
      <c r="BC15">
        <v>1</v>
      </c>
      <c r="BD15" t="s">
        <v>338</v>
      </c>
      <c r="BE15" t="s">
        <v>339</v>
      </c>
      <c r="BF15">
        <v>3</v>
      </c>
      <c r="BG15">
        <v>1</v>
      </c>
      <c r="BH15" t="s">
        <v>338</v>
      </c>
      <c r="BI15">
        <v>1</v>
      </c>
      <c r="BJ15" t="s">
        <v>97</v>
      </c>
      <c r="BK15">
        <v>7</v>
      </c>
      <c r="BL15">
        <v>3222470381</v>
      </c>
      <c r="BM15" t="s">
        <v>340</v>
      </c>
      <c r="BP15">
        <v>730010000000</v>
      </c>
      <c r="BQ15" t="s">
        <v>179</v>
      </c>
      <c r="BR15" t="s">
        <v>97</v>
      </c>
      <c r="BS15" t="s">
        <v>341</v>
      </c>
      <c r="BT15">
        <v>2772055</v>
      </c>
      <c r="BU15" t="s">
        <v>342</v>
      </c>
      <c r="BV15">
        <v>900718172</v>
      </c>
      <c r="BZ15" t="s">
        <v>192</v>
      </c>
      <c r="CA15" t="s">
        <v>343</v>
      </c>
      <c r="CB15" t="s">
        <v>105</v>
      </c>
      <c r="CC15">
        <v>65633229</v>
      </c>
      <c r="CD15">
        <v>3</v>
      </c>
      <c r="CE15">
        <v>0</v>
      </c>
      <c r="CG15" t="s">
        <v>97</v>
      </c>
      <c r="CH15">
        <v>2</v>
      </c>
      <c r="CI15" t="s">
        <v>97</v>
      </c>
      <c r="CK15">
        <v>1</v>
      </c>
      <c r="CL15">
        <v>2</v>
      </c>
      <c r="CM15">
        <v>1</v>
      </c>
      <c r="CN15">
        <v>15</v>
      </c>
      <c r="CO15">
        <v>1</v>
      </c>
      <c r="CP15">
        <v>2</v>
      </c>
      <c r="CQ15">
        <v>2</v>
      </c>
      <c r="CR15">
        <v>1</v>
      </c>
      <c r="CS15">
        <v>2</v>
      </c>
      <c r="CT15">
        <v>2</v>
      </c>
      <c r="CV15">
        <v>1</v>
      </c>
      <c r="CW15" t="s">
        <v>160</v>
      </c>
      <c r="CX15">
        <v>5</v>
      </c>
      <c r="CY15">
        <v>1</v>
      </c>
      <c r="CZ15" t="s">
        <v>333</v>
      </c>
      <c r="DA15" t="s">
        <v>99</v>
      </c>
      <c r="DB15" t="s">
        <v>344</v>
      </c>
      <c r="DC15" t="s">
        <v>124</v>
      </c>
      <c r="DD15" t="s">
        <v>100</v>
      </c>
      <c r="DE15" t="s">
        <v>131</v>
      </c>
      <c r="DF15" t="s">
        <v>124</v>
      </c>
      <c r="DG15" t="s">
        <v>100</v>
      </c>
      <c r="DH15" t="s">
        <v>131</v>
      </c>
      <c r="DI15" t="s">
        <v>100</v>
      </c>
      <c r="DJ15" t="s">
        <v>131</v>
      </c>
      <c r="DK15" t="s">
        <v>342</v>
      </c>
      <c r="DL15">
        <v>0</v>
      </c>
      <c r="DN15" s="2" t="str">
        <f t="shared" si="2"/>
        <v>INOPORTUNA</v>
      </c>
      <c r="DO15" s="4">
        <f t="shared" si="3"/>
        <v>45838</v>
      </c>
    </row>
    <row r="16" spans="1:119" x14ac:dyDescent="0.15">
      <c r="A16">
        <v>800</v>
      </c>
      <c r="B16" t="s">
        <v>345</v>
      </c>
      <c r="C16">
        <v>28</v>
      </c>
      <c r="D16">
        <v>2025</v>
      </c>
      <c r="E16">
        <v>7300102822</v>
      </c>
      <c r="F16">
        <v>7</v>
      </c>
      <c r="G16" t="s">
        <v>346</v>
      </c>
      <c r="I16" t="s">
        <v>347</v>
      </c>
      <c r="J16" t="s">
        <v>348</v>
      </c>
      <c r="K16" t="s">
        <v>142</v>
      </c>
      <c r="L16">
        <v>1109194793</v>
      </c>
      <c r="M16">
        <v>11</v>
      </c>
      <c r="N16">
        <v>1</v>
      </c>
      <c r="O16">
        <v>170</v>
      </c>
      <c r="P16" t="s">
        <v>124</v>
      </c>
      <c r="Q16" t="s">
        <v>101</v>
      </c>
      <c r="R16">
        <v>2</v>
      </c>
      <c r="T16">
        <v>1</v>
      </c>
      <c r="V16">
        <v>170</v>
      </c>
      <c r="W16">
        <v>73</v>
      </c>
      <c r="X16">
        <v>1</v>
      </c>
      <c r="Y16">
        <v>1</v>
      </c>
      <c r="Z16" t="s">
        <v>131</v>
      </c>
      <c r="AC16" t="s">
        <v>349</v>
      </c>
      <c r="AD16" t="s">
        <v>350</v>
      </c>
      <c r="AG16" t="s">
        <v>154</v>
      </c>
      <c r="AH16" t="s">
        <v>127</v>
      </c>
      <c r="AI16" t="s">
        <v>128</v>
      </c>
      <c r="AJ16">
        <v>6</v>
      </c>
      <c r="AM16">
        <v>2</v>
      </c>
      <c r="AN16">
        <v>2</v>
      </c>
      <c r="AO16">
        <v>2</v>
      </c>
      <c r="AP16">
        <v>2</v>
      </c>
      <c r="AQ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1</v>
      </c>
      <c r="AZ16">
        <v>1</v>
      </c>
      <c r="BA16">
        <v>170</v>
      </c>
      <c r="BB16">
        <v>73</v>
      </c>
      <c r="BC16">
        <v>1</v>
      </c>
      <c r="BD16" t="s">
        <v>345</v>
      </c>
      <c r="BE16" t="s">
        <v>351</v>
      </c>
      <c r="BF16">
        <v>2</v>
      </c>
      <c r="BG16">
        <v>2</v>
      </c>
      <c r="BH16" t="s">
        <v>97</v>
      </c>
      <c r="BI16">
        <v>1</v>
      </c>
      <c r="BJ16" t="s">
        <v>97</v>
      </c>
      <c r="BK16">
        <v>7</v>
      </c>
      <c r="BL16">
        <v>3102518998</v>
      </c>
      <c r="BM16" t="s">
        <v>352</v>
      </c>
      <c r="BP16">
        <v>730010000000</v>
      </c>
      <c r="BQ16" t="s">
        <v>179</v>
      </c>
      <c r="BR16" t="s">
        <v>97</v>
      </c>
      <c r="BS16" t="s">
        <v>353</v>
      </c>
      <c r="BT16">
        <v>3233259571</v>
      </c>
      <c r="BU16" t="s">
        <v>354</v>
      </c>
      <c r="BV16">
        <v>8000037651</v>
      </c>
      <c r="BZ16" t="s">
        <v>192</v>
      </c>
      <c r="CA16" t="s">
        <v>355</v>
      </c>
      <c r="CB16" t="s">
        <v>105</v>
      </c>
      <c r="CC16">
        <v>38212570</v>
      </c>
      <c r="CD16">
        <v>2</v>
      </c>
      <c r="CE16">
        <v>3</v>
      </c>
      <c r="CF16">
        <v>1</v>
      </c>
      <c r="CG16" t="s">
        <v>356</v>
      </c>
      <c r="CH16">
        <v>2</v>
      </c>
      <c r="CI16" t="s">
        <v>97</v>
      </c>
      <c r="CK16">
        <v>1</v>
      </c>
      <c r="CL16">
        <v>2</v>
      </c>
      <c r="CM16">
        <v>1</v>
      </c>
      <c r="CN16">
        <v>15</v>
      </c>
      <c r="CO16">
        <v>1</v>
      </c>
      <c r="CP16">
        <v>1</v>
      </c>
      <c r="CQ16">
        <v>1</v>
      </c>
      <c r="CR16">
        <v>2</v>
      </c>
      <c r="CS16">
        <v>1</v>
      </c>
      <c r="CT16">
        <v>2</v>
      </c>
      <c r="CV16">
        <v>1</v>
      </c>
      <c r="CW16" t="s">
        <v>160</v>
      </c>
      <c r="CX16">
        <v>5</v>
      </c>
      <c r="CY16">
        <v>1</v>
      </c>
      <c r="CZ16" t="s">
        <v>290</v>
      </c>
      <c r="DA16" t="s">
        <v>99</v>
      </c>
      <c r="DB16" t="s">
        <v>162</v>
      </c>
      <c r="DC16" t="s">
        <v>124</v>
      </c>
      <c r="DD16" t="s">
        <v>100</v>
      </c>
      <c r="DE16" t="s">
        <v>131</v>
      </c>
      <c r="DF16" t="s">
        <v>124</v>
      </c>
      <c r="DG16" t="s">
        <v>100</v>
      </c>
      <c r="DH16" t="s">
        <v>131</v>
      </c>
      <c r="DI16" t="s">
        <v>100</v>
      </c>
      <c r="DJ16" t="s">
        <v>131</v>
      </c>
      <c r="DK16" t="s">
        <v>354</v>
      </c>
      <c r="DL16">
        <v>0</v>
      </c>
      <c r="DN16" s="2" t="str">
        <f t="shared" si="2"/>
        <v>INOPORTUNA</v>
      </c>
      <c r="DO16" s="4">
        <f t="shared" si="3"/>
        <v>45862</v>
      </c>
    </row>
    <row r="17" spans="1:119" x14ac:dyDescent="0.15">
      <c r="A17">
        <v>800</v>
      </c>
      <c r="B17" t="s">
        <v>357</v>
      </c>
      <c r="C17">
        <v>14</v>
      </c>
      <c r="D17">
        <v>2025</v>
      </c>
      <c r="E17">
        <v>7300100771</v>
      </c>
      <c r="F17">
        <v>62</v>
      </c>
      <c r="G17" t="s">
        <v>358</v>
      </c>
      <c r="I17" t="s">
        <v>359</v>
      </c>
      <c r="J17" t="s">
        <v>139</v>
      </c>
      <c r="K17" t="s">
        <v>94</v>
      </c>
      <c r="L17">
        <v>1030292122</v>
      </c>
      <c r="M17">
        <v>7</v>
      </c>
      <c r="N17">
        <v>2</v>
      </c>
      <c r="O17">
        <v>170</v>
      </c>
      <c r="P17" t="s">
        <v>124</v>
      </c>
      <c r="Q17" t="s">
        <v>95</v>
      </c>
      <c r="R17">
        <v>1</v>
      </c>
      <c r="T17">
        <v>1</v>
      </c>
      <c r="V17">
        <v>170</v>
      </c>
      <c r="W17">
        <v>73</v>
      </c>
      <c r="X17">
        <v>1</v>
      </c>
      <c r="Y17">
        <v>3</v>
      </c>
      <c r="AB17" t="s">
        <v>360</v>
      </c>
      <c r="AD17" t="s">
        <v>361</v>
      </c>
      <c r="AG17" t="s">
        <v>132</v>
      </c>
      <c r="AH17" t="s">
        <v>96</v>
      </c>
      <c r="AI17" t="s">
        <v>145</v>
      </c>
      <c r="AJ17">
        <v>6</v>
      </c>
      <c r="AL17">
        <v>2</v>
      </c>
      <c r="AM17">
        <v>2</v>
      </c>
      <c r="AN17">
        <v>2</v>
      </c>
      <c r="AO17">
        <v>2</v>
      </c>
      <c r="AP17">
        <v>2</v>
      </c>
      <c r="AQ17">
        <v>2</v>
      </c>
      <c r="AS17">
        <v>2</v>
      </c>
      <c r="AT17">
        <v>2</v>
      </c>
      <c r="AU17">
        <v>2</v>
      </c>
      <c r="AV17">
        <v>2</v>
      </c>
      <c r="AW17">
        <v>2</v>
      </c>
      <c r="AX17">
        <v>2</v>
      </c>
      <c r="AY17">
        <v>1</v>
      </c>
      <c r="AZ17">
        <v>1</v>
      </c>
      <c r="BA17">
        <v>170</v>
      </c>
      <c r="BB17">
        <v>73</v>
      </c>
      <c r="BC17">
        <v>1</v>
      </c>
      <c r="BD17" t="s">
        <v>362</v>
      </c>
      <c r="BE17" t="s">
        <v>310</v>
      </c>
      <c r="BF17">
        <v>2</v>
      </c>
      <c r="BG17">
        <v>1</v>
      </c>
      <c r="BH17" t="s">
        <v>363</v>
      </c>
      <c r="BI17">
        <v>1</v>
      </c>
      <c r="BJ17" t="s">
        <v>97</v>
      </c>
      <c r="BK17">
        <v>6</v>
      </c>
      <c r="BL17">
        <v>3154569727</v>
      </c>
      <c r="BM17" t="s">
        <v>364</v>
      </c>
      <c r="BP17">
        <v>730010077101</v>
      </c>
      <c r="BQ17" t="s">
        <v>365</v>
      </c>
      <c r="BR17" t="s">
        <v>97</v>
      </c>
      <c r="BS17" t="s">
        <v>366</v>
      </c>
      <c r="BT17">
        <v>2739595</v>
      </c>
      <c r="BU17" t="s">
        <v>242</v>
      </c>
      <c r="BV17">
        <v>8090035902</v>
      </c>
      <c r="BZ17" t="s">
        <v>206</v>
      </c>
      <c r="CA17" t="s">
        <v>367</v>
      </c>
      <c r="CB17" t="s">
        <v>105</v>
      </c>
      <c r="CC17">
        <v>1110518651</v>
      </c>
      <c r="CD17">
        <v>2</v>
      </c>
      <c r="CE17">
        <v>0</v>
      </c>
      <c r="CG17" t="s">
        <v>97</v>
      </c>
      <c r="CH17">
        <v>2</v>
      </c>
      <c r="CI17" t="s">
        <v>97</v>
      </c>
      <c r="CK17">
        <v>1</v>
      </c>
      <c r="CL17">
        <v>1</v>
      </c>
      <c r="CM17">
        <v>1</v>
      </c>
      <c r="CN17">
        <v>3</v>
      </c>
      <c r="CO17">
        <v>1</v>
      </c>
      <c r="CP17">
        <v>2</v>
      </c>
      <c r="CQ17">
        <v>2</v>
      </c>
      <c r="CR17">
        <v>2</v>
      </c>
      <c r="CS17">
        <v>2</v>
      </c>
      <c r="CT17">
        <v>1</v>
      </c>
      <c r="CU17">
        <v>4</v>
      </c>
      <c r="CV17">
        <v>1</v>
      </c>
      <c r="CW17" t="s">
        <v>368</v>
      </c>
      <c r="CX17">
        <v>7</v>
      </c>
      <c r="CY17">
        <v>1</v>
      </c>
      <c r="CZ17" t="s">
        <v>369</v>
      </c>
      <c r="DA17" t="s">
        <v>99</v>
      </c>
      <c r="DB17" t="s">
        <v>146</v>
      </c>
      <c r="DC17" t="s">
        <v>124</v>
      </c>
      <c r="DD17" t="s">
        <v>100</v>
      </c>
      <c r="DE17" t="s">
        <v>131</v>
      </c>
      <c r="DF17" t="s">
        <v>124</v>
      </c>
      <c r="DG17" t="s">
        <v>100</v>
      </c>
      <c r="DH17" t="s">
        <v>131</v>
      </c>
      <c r="DI17" t="s">
        <v>100</v>
      </c>
      <c r="DJ17" t="s">
        <v>131</v>
      </c>
      <c r="DK17" t="s">
        <v>242</v>
      </c>
      <c r="DL17">
        <v>0</v>
      </c>
      <c r="DN17" s="2" t="str">
        <f t="shared" ref="DN17:DN21" si="4">IF(CZ17="  -   -",IF(CZ17="","ESPACIO","SIN FECHA"),IF(CZ17&gt;DO17,"INOPORTUNA","OPORTUNA"))</f>
        <v>INOPORTUNA</v>
      </c>
      <c r="DO17" s="4">
        <f t="shared" ref="DO17:DO21" si="5">IF(B17="","-",DATE(YEAR(B17),MONTH(B17),DAY(B17)+3))</f>
        <v>45759</v>
      </c>
    </row>
    <row r="18" spans="1:119" x14ac:dyDescent="0.15">
      <c r="A18">
        <v>800</v>
      </c>
      <c r="B18" t="s">
        <v>370</v>
      </c>
      <c r="C18">
        <v>26</v>
      </c>
      <c r="D18">
        <v>2025</v>
      </c>
      <c r="E18">
        <v>7306700818</v>
      </c>
      <c r="F18">
        <v>1</v>
      </c>
      <c r="G18" t="s">
        <v>371</v>
      </c>
      <c r="H18" t="s">
        <v>372</v>
      </c>
      <c r="I18" t="s">
        <v>373</v>
      </c>
      <c r="J18" t="s">
        <v>374</v>
      </c>
      <c r="K18" t="s">
        <v>142</v>
      </c>
      <c r="L18">
        <v>1011202947</v>
      </c>
      <c r="M18">
        <v>17</v>
      </c>
      <c r="N18">
        <v>1</v>
      </c>
      <c r="O18">
        <v>170</v>
      </c>
      <c r="P18" t="s">
        <v>124</v>
      </c>
      <c r="Q18" t="s">
        <v>101</v>
      </c>
      <c r="R18">
        <v>2</v>
      </c>
      <c r="T18">
        <v>1</v>
      </c>
      <c r="V18">
        <v>170</v>
      </c>
      <c r="W18">
        <v>73</v>
      </c>
      <c r="X18">
        <v>67</v>
      </c>
      <c r="Y18">
        <v>1</v>
      </c>
      <c r="Z18" t="s">
        <v>173</v>
      </c>
      <c r="AC18" t="s">
        <v>375</v>
      </c>
      <c r="AD18" t="s">
        <v>376</v>
      </c>
      <c r="AG18" t="s">
        <v>154</v>
      </c>
      <c r="AH18" t="s">
        <v>96</v>
      </c>
      <c r="AI18" t="s">
        <v>201</v>
      </c>
      <c r="AJ18">
        <v>6</v>
      </c>
      <c r="AL18">
        <v>1</v>
      </c>
      <c r="AM18">
        <v>2</v>
      </c>
      <c r="AN18">
        <v>2</v>
      </c>
      <c r="AO18">
        <v>2</v>
      </c>
      <c r="AP18">
        <v>2</v>
      </c>
      <c r="AQ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1</v>
      </c>
      <c r="AZ18">
        <v>1</v>
      </c>
      <c r="BA18">
        <v>170</v>
      </c>
      <c r="BB18">
        <v>73</v>
      </c>
      <c r="BC18">
        <v>67</v>
      </c>
      <c r="BD18" t="s">
        <v>370</v>
      </c>
      <c r="BE18" t="s">
        <v>377</v>
      </c>
      <c r="BF18">
        <v>2</v>
      </c>
      <c r="BG18">
        <v>2</v>
      </c>
      <c r="BH18" t="s">
        <v>97</v>
      </c>
      <c r="BI18">
        <v>1</v>
      </c>
      <c r="BJ18" t="s">
        <v>97</v>
      </c>
      <c r="BK18">
        <v>7</v>
      </c>
      <c r="BL18">
        <v>3169236845</v>
      </c>
      <c r="BM18" t="s">
        <v>378</v>
      </c>
      <c r="BP18">
        <v>730670000000</v>
      </c>
      <c r="BQ18" t="s">
        <v>379</v>
      </c>
      <c r="BR18" t="s">
        <v>97</v>
      </c>
      <c r="BS18" t="s">
        <v>380</v>
      </c>
      <c r="BT18">
        <v>3208304156</v>
      </c>
      <c r="BU18" t="s">
        <v>381</v>
      </c>
      <c r="BV18">
        <v>890703266</v>
      </c>
      <c r="BZ18" t="s">
        <v>192</v>
      </c>
      <c r="CA18" t="s">
        <v>382</v>
      </c>
      <c r="CB18" t="s">
        <v>105</v>
      </c>
      <c r="CC18">
        <v>28613859</v>
      </c>
      <c r="CD18">
        <v>2</v>
      </c>
      <c r="CE18">
        <v>0</v>
      </c>
      <c r="CG18" t="s">
        <v>97</v>
      </c>
      <c r="CH18">
        <v>2</v>
      </c>
      <c r="CI18" t="s">
        <v>97</v>
      </c>
      <c r="CK18">
        <v>1</v>
      </c>
      <c r="CL18">
        <v>2</v>
      </c>
      <c r="CM18">
        <v>1</v>
      </c>
      <c r="CN18">
        <v>30</v>
      </c>
      <c r="CO18">
        <v>1</v>
      </c>
      <c r="CP18">
        <v>2</v>
      </c>
      <c r="CQ18">
        <v>2</v>
      </c>
      <c r="CR18">
        <v>2</v>
      </c>
      <c r="CS18">
        <v>1</v>
      </c>
      <c r="CT18">
        <v>2</v>
      </c>
      <c r="CV18">
        <v>1</v>
      </c>
      <c r="CW18" t="s">
        <v>160</v>
      </c>
      <c r="CX18">
        <v>5</v>
      </c>
      <c r="CY18">
        <v>1</v>
      </c>
      <c r="CZ18" t="s">
        <v>383</v>
      </c>
      <c r="DA18" t="s">
        <v>99</v>
      </c>
      <c r="DB18" t="s">
        <v>384</v>
      </c>
      <c r="DC18" t="s">
        <v>124</v>
      </c>
      <c r="DD18" t="s">
        <v>100</v>
      </c>
      <c r="DE18" t="s">
        <v>385</v>
      </c>
      <c r="DF18" t="s">
        <v>124</v>
      </c>
      <c r="DG18" t="s">
        <v>100</v>
      </c>
      <c r="DH18" t="s">
        <v>385</v>
      </c>
      <c r="DI18" t="s">
        <v>100</v>
      </c>
      <c r="DJ18" t="s">
        <v>385</v>
      </c>
      <c r="DK18" t="s">
        <v>381</v>
      </c>
      <c r="DL18">
        <v>0</v>
      </c>
      <c r="DN18" s="2" t="str">
        <f t="shared" si="4"/>
        <v>INOPORTUNA</v>
      </c>
      <c r="DO18" s="4">
        <f t="shared" si="5"/>
        <v>45864</v>
      </c>
    </row>
    <row r="19" spans="1:119" x14ac:dyDescent="0.15">
      <c r="A19">
        <v>800</v>
      </c>
      <c r="B19" t="s">
        <v>386</v>
      </c>
      <c r="C19">
        <v>20</v>
      </c>
      <c r="D19">
        <v>2025</v>
      </c>
      <c r="E19">
        <v>2530702631</v>
      </c>
      <c r="F19">
        <v>1</v>
      </c>
      <c r="G19" t="s">
        <v>387</v>
      </c>
      <c r="H19" t="s">
        <v>388</v>
      </c>
      <c r="I19" t="s">
        <v>389</v>
      </c>
      <c r="J19" t="s">
        <v>137</v>
      </c>
      <c r="K19" t="s">
        <v>264</v>
      </c>
      <c r="L19" t="s">
        <v>390</v>
      </c>
      <c r="M19">
        <v>4</v>
      </c>
      <c r="N19">
        <v>1</v>
      </c>
      <c r="O19">
        <v>862</v>
      </c>
      <c r="P19" t="s">
        <v>153</v>
      </c>
      <c r="Q19" t="s">
        <v>95</v>
      </c>
      <c r="R19">
        <v>1</v>
      </c>
      <c r="T19">
        <v>1</v>
      </c>
      <c r="V19">
        <v>170</v>
      </c>
      <c r="W19">
        <v>73</v>
      </c>
      <c r="X19">
        <v>449</v>
      </c>
      <c r="Y19">
        <v>1</v>
      </c>
      <c r="Z19" t="s">
        <v>391</v>
      </c>
      <c r="AC19" t="s">
        <v>392</v>
      </c>
      <c r="AD19" t="s">
        <v>393</v>
      </c>
      <c r="AG19" t="s">
        <v>271</v>
      </c>
      <c r="AH19" t="s">
        <v>96</v>
      </c>
      <c r="AI19" t="s">
        <v>129</v>
      </c>
      <c r="AJ19">
        <v>6</v>
      </c>
      <c r="AL19">
        <v>2</v>
      </c>
      <c r="AM19">
        <v>2</v>
      </c>
      <c r="AN19">
        <v>2</v>
      </c>
      <c r="AO19">
        <v>1</v>
      </c>
      <c r="AP19">
        <v>2</v>
      </c>
      <c r="AQ19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>
        <v>2</v>
      </c>
      <c r="AY19">
        <v>2</v>
      </c>
      <c r="AZ19">
        <v>1</v>
      </c>
      <c r="BA19">
        <v>170</v>
      </c>
      <c r="BB19">
        <v>73</v>
      </c>
      <c r="BC19">
        <v>449</v>
      </c>
      <c r="BD19" t="s">
        <v>386</v>
      </c>
      <c r="BE19" t="s">
        <v>394</v>
      </c>
      <c r="BF19">
        <v>2</v>
      </c>
      <c r="BG19">
        <v>1</v>
      </c>
      <c r="BH19" t="s">
        <v>386</v>
      </c>
      <c r="BI19">
        <v>1</v>
      </c>
      <c r="BJ19" t="s">
        <v>97</v>
      </c>
      <c r="BK19">
        <v>6</v>
      </c>
      <c r="BL19">
        <v>3118730957</v>
      </c>
      <c r="BM19" t="s">
        <v>395</v>
      </c>
      <c r="BP19">
        <v>253070263101</v>
      </c>
      <c r="BQ19" t="s">
        <v>396</v>
      </c>
      <c r="BR19" t="s">
        <v>97</v>
      </c>
      <c r="BS19" t="s">
        <v>397</v>
      </c>
      <c r="BT19">
        <v>3017717598</v>
      </c>
      <c r="BU19" t="s">
        <v>398</v>
      </c>
      <c r="BV19">
        <v>8050277431</v>
      </c>
      <c r="BZ19" t="s">
        <v>206</v>
      </c>
      <c r="CA19" t="s">
        <v>399</v>
      </c>
      <c r="CB19" t="s">
        <v>264</v>
      </c>
      <c r="CC19" t="s">
        <v>400</v>
      </c>
      <c r="CD19">
        <v>2</v>
      </c>
      <c r="CE19">
        <v>3</v>
      </c>
      <c r="CF19">
        <v>1</v>
      </c>
      <c r="CG19" t="s">
        <v>401</v>
      </c>
      <c r="CH19">
        <v>2</v>
      </c>
      <c r="CI19" t="s">
        <v>97</v>
      </c>
      <c r="CK19">
        <v>1</v>
      </c>
      <c r="CL19">
        <v>1</v>
      </c>
      <c r="CM19">
        <v>1</v>
      </c>
      <c r="CN19">
        <v>6</v>
      </c>
      <c r="CO19">
        <v>2</v>
      </c>
      <c r="CP19">
        <v>2</v>
      </c>
      <c r="CQ19">
        <v>2</v>
      </c>
      <c r="CR19">
        <v>1</v>
      </c>
      <c r="CS19">
        <v>1</v>
      </c>
      <c r="CT19">
        <v>2</v>
      </c>
      <c r="CV19">
        <v>1</v>
      </c>
      <c r="CW19" t="s">
        <v>98</v>
      </c>
      <c r="CX19">
        <v>5</v>
      </c>
      <c r="CY19">
        <v>2</v>
      </c>
      <c r="CZ19" s="8" t="s">
        <v>97</v>
      </c>
      <c r="DA19" t="s">
        <v>99</v>
      </c>
      <c r="DB19" t="s">
        <v>396</v>
      </c>
      <c r="DC19" t="s">
        <v>124</v>
      </c>
      <c r="DD19" t="s">
        <v>100</v>
      </c>
      <c r="DE19" t="s">
        <v>391</v>
      </c>
      <c r="DF19" t="s">
        <v>124</v>
      </c>
      <c r="DG19" t="s">
        <v>100</v>
      </c>
      <c r="DH19" t="s">
        <v>391</v>
      </c>
      <c r="DI19" t="s">
        <v>150</v>
      </c>
      <c r="DJ19" t="s">
        <v>151</v>
      </c>
      <c r="DK19" t="s">
        <v>398</v>
      </c>
      <c r="DL19">
        <v>0</v>
      </c>
      <c r="DN19" s="2" t="str">
        <f t="shared" si="4"/>
        <v>SIN FECHA</v>
      </c>
      <c r="DO19" s="4">
        <f t="shared" si="5"/>
        <v>45800</v>
      </c>
    </row>
    <row r="20" spans="1:119" x14ac:dyDescent="0.15">
      <c r="A20">
        <v>800</v>
      </c>
      <c r="B20" t="s">
        <v>402</v>
      </c>
      <c r="C20">
        <v>31</v>
      </c>
      <c r="D20">
        <v>2025</v>
      </c>
      <c r="E20">
        <v>7344901045</v>
      </c>
      <c r="F20">
        <v>1</v>
      </c>
      <c r="G20" t="s">
        <v>403</v>
      </c>
      <c r="H20" t="s">
        <v>161</v>
      </c>
      <c r="I20" t="s">
        <v>283</v>
      </c>
      <c r="J20" t="s">
        <v>404</v>
      </c>
      <c r="K20" t="s">
        <v>94</v>
      </c>
      <c r="L20">
        <v>1105842362</v>
      </c>
      <c r="M20">
        <v>7</v>
      </c>
      <c r="N20">
        <v>2</v>
      </c>
      <c r="O20">
        <v>170</v>
      </c>
      <c r="P20" t="s">
        <v>124</v>
      </c>
      <c r="Q20" t="s">
        <v>95</v>
      </c>
      <c r="R20">
        <v>1</v>
      </c>
      <c r="T20">
        <v>1</v>
      </c>
      <c r="V20">
        <v>170</v>
      </c>
      <c r="W20">
        <v>73</v>
      </c>
      <c r="X20">
        <v>449</v>
      </c>
      <c r="Y20">
        <v>1</v>
      </c>
      <c r="Z20" t="s">
        <v>130</v>
      </c>
      <c r="AC20" t="s">
        <v>405</v>
      </c>
      <c r="AD20" t="s">
        <v>406</v>
      </c>
      <c r="AG20" t="s">
        <v>132</v>
      </c>
      <c r="AH20" t="s">
        <v>127</v>
      </c>
      <c r="AI20" t="s">
        <v>128</v>
      </c>
      <c r="AJ20">
        <v>6</v>
      </c>
      <c r="AL20">
        <v>1</v>
      </c>
      <c r="AM20">
        <v>2</v>
      </c>
      <c r="AN20">
        <v>2</v>
      </c>
      <c r="AO20">
        <v>2</v>
      </c>
      <c r="AP20">
        <v>2</v>
      </c>
      <c r="AQ20">
        <v>2</v>
      </c>
      <c r="AS20">
        <v>2</v>
      </c>
      <c r="AT20">
        <v>2</v>
      </c>
      <c r="AU20">
        <v>2</v>
      </c>
      <c r="AV20">
        <v>2</v>
      </c>
      <c r="AW20">
        <v>2</v>
      </c>
      <c r="AX20">
        <v>2</v>
      </c>
      <c r="AY20">
        <v>1</v>
      </c>
      <c r="AZ20">
        <v>1</v>
      </c>
      <c r="BA20">
        <v>170</v>
      </c>
      <c r="BB20">
        <v>73</v>
      </c>
      <c r="BC20">
        <v>449</v>
      </c>
      <c r="BD20" t="s">
        <v>402</v>
      </c>
      <c r="BE20" t="s">
        <v>381</v>
      </c>
      <c r="BF20">
        <v>2</v>
      </c>
      <c r="BG20">
        <v>1</v>
      </c>
      <c r="BH20" t="s">
        <v>402</v>
      </c>
      <c r="BI20">
        <v>1</v>
      </c>
      <c r="BJ20" t="s">
        <v>97</v>
      </c>
      <c r="BK20">
        <v>0</v>
      </c>
      <c r="BL20">
        <v>3217514686</v>
      </c>
      <c r="BM20" t="s">
        <v>407</v>
      </c>
      <c r="BP20">
        <v>734490104501</v>
      </c>
      <c r="BQ20" t="s">
        <v>408</v>
      </c>
      <c r="BR20" t="s">
        <v>97</v>
      </c>
      <c r="BS20" t="s">
        <v>409</v>
      </c>
      <c r="BT20">
        <v>3158355343</v>
      </c>
      <c r="BU20" t="s">
        <v>410</v>
      </c>
      <c r="BV20">
        <v>890702369</v>
      </c>
      <c r="BZ20" t="s">
        <v>192</v>
      </c>
      <c r="CA20" t="s">
        <v>411</v>
      </c>
      <c r="CB20" t="s">
        <v>105</v>
      </c>
      <c r="CC20">
        <v>1106891829</v>
      </c>
      <c r="CD20">
        <v>2</v>
      </c>
      <c r="CE20">
        <v>3</v>
      </c>
      <c r="CF20">
        <v>2</v>
      </c>
      <c r="CG20" t="s">
        <v>208</v>
      </c>
      <c r="CH20">
        <v>1</v>
      </c>
      <c r="CI20" t="s">
        <v>412</v>
      </c>
      <c r="CJ20">
        <v>34</v>
      </c>
      <c r="CK20">
        <v>1</v>
      </c>
      <c r="CL20">
        <v>1</v>
      </c>
      <c r="CM20">
        <v>1</v>
      </c>
      <c r="CN20">
        <v>10</v>
      </c>
      <c r="CO20">
        <v>1</v>
      </c>
      <c r="CP20">
        <v>1</v>
      </c>
      <c r="CQ20">
        <v>2</v>
      </c>
      <c r="CR20">
        <v>2</v>
      </c>
      <c r="CS20">
        <v>2</v>
      </c>
      <c r="CT20">
        <v>2</v>
      </c>
      <c r="CV20">
        <v>1</v>
      </c>
      <c r="CW20" t="s">
        <v>98</v>
      </c>
      <c r="CX20">
        <v>2</v>
      </c>
      <c r="CY20">
        <v>2</v>
      </c>
      <c r="CZ20" s="8" t="s">
        <v>97</v>
      </c>
      <c r="DA20" t="s">
        <v>99</v>
      </c>
      <c r="DB20" t="s">
        <v>408</v>
      </c>
      <c r="DC20" t="s">
        <v>124</v>
      </c>
      <c r="DD20" t="s">
        <v>100</v>
      </c>
      <c r="DE20" t="s">
        <v>391</v>
      </c>
      <c r="DF20" t="s">
        <v>124</v>
      </c>
      <c r="DG20" t="s">
        <v>100</v>
      </c>
      <c r="DH20" t="s">
        <v>391</v>
      </c>
      <c r="DI20" t="s">
        <v>100</v>
      </c>
      <c r="DJ20" t="s">
        <v>391</v>
      </c>
      <c r="DK20" t="s">
        <v>410</v>
      </c>
      <c r="DL20">
        <v>0</v>
      </c>
      <c r="DN20" s="2" t="str">
        <f t="shared" si="4"/>
        <v>SIN FECHA</v>
      </c>
      <c r="DO20" s="4">
        <f t="shared" si="5"/>
        <v>45879</v>
      </c>
    </row>
    <row r="21" spans="1:119" x14ac:dyDescent="0.15">
      <c r="A21">
        <v>800</v>
      </c>
      <c r="B21" t="s">
        <v>231</v>
      </c>
      <c r="C21">
        <v>21</v>
      </c>
      <c r="D21">
        <v>2025</v>
      </c>
      <c r="E21">
        <v>7300101047</v>
      </c>
      <c r="F21">
        <v>1</v>
      </c>
      <c r="G21" t="s">
        <v>158</v>
      </c>
      <c r="H21" t="s">
        <v>212</v>
      </c>
      <c r="I21" t="s">
        <v>138</v>
      </c>
      <c r="J21" t="s">
        <v>413</v>
      </c>
      <c r="K21" t="s">
        <v>94</v>
      </c>
      <c r="L21">
        <v>1104958670</v>
      </c>
      <c r="M21">
        <v>1</v>
      </c>
      <c r="N21">
        <v>2</v>
      </c>
      <c r="O21">
        <v>170</v>
      </c>
      <c r="P21" t="s">
        <v>124</v>
      </c>
      <c r="Q21" t="s">
        <v>101</v>
      </c>
      <c r="R21">
        <v>2</v>
      </c>
      <c r="T21">
        <v>1</v>
      </c>
      <c r="V21">
        <v>170</v>
      </c>
      <c r="W21">
        <v>73</v>
      </c>
      <c r="X21">
        <v>1</v>
      </c>
      <c r="Y21">
        <v>1</v>
      </c>
      <c r="Z21" t="s">
        <v>414</v>
      </c>
      <c r="AC21" t="s">
        <v>415</v>
      </c>
      <c r="AD21" t="s">
        <v>416</v>
      </c>
      <c r="AG21" t="s">
        <v>132</v>
      </c>
      <c r="AH21" t="s">
        <v>127</v>
      </c>
      <c r="AI21" t="s">
        <v>128</v>
      </c>
      <c r="AJ21">
        <v>6</v>
      </c>
      <c r="AL21">
        <v>2</v>
      </c>
      <c r="AM21">
        <v>2</v>
      </c>
      <c r="AN21">
        <v>2</v>
      </c>
      <c r="AO21">
        <v>2</v>
      </c>
      <c r="AP21">
        <v>2</v>
      </c>
      <c r="AQ21">
        <v>2</v>
      </c>
      <c r="AS21">
        <v>2</v>
      </c>
      <c r="AT21">
        <v>2</v>
      </c>
      <c r="AU21">
        <v>2</v>
      </c>
      <c r="AV21">
        <v>2</v>
      </c>
      <c r="AW21">
        <v>2</v>
      </c>
      <c r="AX21">
        <v>2</v>
      </c>
      <c r="AY21">
        <v>1</v>
      </c>
      <c r="AZ21">
        <v>1</v>
      </c>
      <c r="BA21">
        <v>170</v>
      </c>
      <c r="BB21">
        <v>73</v>
      </c>
      <c r="BC21">
        <v>1</v>
      </c>
      <c r="BD21" t="s">
        <v>260</v>
      </c>
      <c r="BE21" t="s">
        <v>417</v>
      </c>
      <c r="BF21">
        <v>2</v>
      </c>
      <c r="BG21">
        <v>1</v>
      </c>
      <c r="BH21" t="s">
        <v>260</v>
      </c>
      <c r="BI21">
        <v>1</v>
      </c>
      <c r="BJ21" t="s">
        <v>97</v>
      </c>
      <c r="BK21">
        <v>6</v>
      </c>
      <c r="BL21">
        <v>3112359907</v>
      </c>
      <c r="BM21" t="s">
        <v>418</v>
      </c>
      <c r="BP21">
        <v>730010104701</v>
      </c>
      <c r="BQ21" t="s">
        <v>143</v>
      </c>
      <c r="BR21" t="s">
        <v>97</v>
      </c>
      <c r="BS21" t="s">
        <v>419</v>
      </c>
      <c r="BT21">
        <v>2739805</v>
      </c>
      <c r="BU21" t="s">
        <v>420</v>
      </c>
      <c r="BV21">
        <v>8907068339</v>
      </c>
      <c r="BZ21" t="s">
        <v>206</v>
      </c>
      <c r="CA21" t="s">
        <v>421</v>
      </c>
      <c r="CB21" t="s">
        <v>105</v>
      </c>
      <c r="CC21">
        <v>1104958670</v>
      </c>
      <c r="CD21">
        <v>2</v>
      </c>
      <c r="CE21">
        <v>0</v>
      </c>
      <c r="CG21" t="s">
        <v>97</v>
      </c>
      <c r="CH21">
        <v>2</v>
      </c>
      <c r="CI21" t="s">
        <v>97</v>
      </c>
      <c r="CK21">
        <v>1</v>
      </c>
      <c r="CL21">
        <v>2</v>
      </c>
      <c r="CM21">
        <v>1</v>
      </c>
      <c r="CN21">
        <v>5</v>
      </c>
      <c r="CO21">
        <v>2</v>
      </c>
      <c r="CP21">
        <v>1</v>
      </c>
      <c r="CQ21">
        <v>2</v>
      </c>
      <c r="CR21">
        <v>2</v>
      </c>
      <c r="CS21">
        <v>2</v>
      </c>
      <c r="CT21">
        <v>2</v>
      </c>
      <c r="CV21">
        <v>2</v>
      </c>
      <c r="CY21">
        <v>1</v>
      </c>
      <c r="CZ21" t="s">
        <v>252</v>
      </c>
      <c r="DA21" t="s">
        <v>99</v>
      </c>
      <c r="DB21" t="s">
        <v>143</v>
      </c>
      <c r="DC21" t="s">
        <v>124</v>
      </c>
      <c r="DD21" t="s">
        <v>100</v>
      </c>
      <c r="DE21" t="s">
        <v>131</v>
      </c>
      <c r="DF21" t="s">
        <v>124</v>
      </c>
      <c r="DG21" t="s">
        <v>100</v>
      </c>
      <c r="DH21" t="s">
        <v>131</v>
      </c>
      <c r="DI21" t="s">
        <v>100</v>
      </c>
      <c r="DJ21" t="s">
        <v>131</v>
      </c>
      <c r="DK21" t="s">
        <v>420</v>
      </c>
      <c r="DL21">
        <v>0</v>
      </c>
      <c r="DN21" s="2" t="str">
        <f t="shared" si="4"/>
        <v>INOPORTUNA</v>
      </c>
      <c r="DO21" s="4">
        <f t="shared" si="5"/>
        <v>45807</v>
      </c>
    </row>
    <row r="22" spans="1:119" x14ac:dyDescent="0.15">
      <c r="A22">
        <v>800</v>
      </c>
      <c r="B22" t="s">
        <v>422</v>
      </c>
      <c r="C22">
        <v>24</v>
      </c>
      <c r="D22">
        <v>2025</v>
      </c>
      <c r="E22">
        <v>7300102822</v>
      </c>
      <c r="F22">
        <v>7</v>
      </c>
      <c r="G22" t="s">
        <v>423</v>
      </c>
      <c r="H22" t="s">
        <v>135</v>
      </c>
      <c r="I22" t="s">
        <v>424</v>
      </c>
      <c r="J22" t="s">
        <v>139</v>
      </c>
      <c r="K22" t="s">
        <v>94</v>
      </c>
      <c r="L22">
        <v>119747646</v>
      </c>
      <c r="M22">
        <v>1</v>
      </c>
      <c r="N22">
        <v>2</v>
      </c>
      <c r="O22">
        <v>170</v>
      </c>
      <c r="P22" t="s">
        <v>124</v>
      </c>
      <c r="Q22" t="s">
        <v>101</v>
      </c>
      <c r="R22">
        <v>2</v>
      </c>
      <c r="T22">
        <v>1</v>
      </c>
      <c r="V22">
        <v>170</v>
      </c>
      <c r="W22">
        <v>73</v>
      </c>
      <c r="X22">
        <v>1</v>
      </c>
      <c r="Y22">
        <v>1</v>
      </c>
      <c r="Z22" t="s">
        <v>130</v>
      </c>
      <c r="AC22" t="s">
        <v>425</v>
      </c>
      <c r="AD22" t="s">
        <v>426</v>
      </c>
      <c r="AG22" t="s">
        <v>132</v>
      </c>
      <c r="AH22" t="s">
        <v>127</v>
      </c>
      <c r="AI22" t="s">
        <v>128</v>
      </c>
      <c r="AJ22">
        <v>6</v>
      </c>
      <c r="AL22">
        <v>2</v>
      </c>
      <c r="AM22">
        <v>2</v>
      </c>
      <c r="AN22">
        <v>2</v>
      </c>
      <c r="AO22">
        <v>2</v>
      </c>
      <c r="AP22">
        <v>2</v>
      </c>
      <c r="AQ22">
        <v>2</v>
      </c>
      <c r="AS22">
        <v>2</v>
      </c>
      <c r="AT22">
        <v>2</v>
      </c>
      <c r="AU22">
        <v>2</v>
      </c>
      <c r="AV22">
        <v>2</v>
      </c>
      <c r="AW22">
        <v>2</v>
      </c>
      <c r="AX22">
        <v>2</v>
      </c>
      <c r="AY22">
        <v>1</v>
      </c>
      <c r="AZ22">
        <v>1</v>
      </c>
      <c r="BA22">
        <v>170</v>
      </c>
      <c r="BB22">
        <v>73</v>
      </c>
      <c r="BC22">
        <v>1</v>
      </c>
      <c r="BD22" t="s">
        <v>422</v>
      </c>
      <c r="BE22" t="s">
        <v>208</v>
      </c>
      <c r="BF22">
        <v>2</v>
      </c>
      <c r="BG22">
        <v>1</v>
      </c>
      <c r="BH22" t="s">
        <v>422</v>
      </c>
      <c r="BI22">
        <v>1</v>
      </c>
      <c r="BJ22" t="s">
        <v>97</v>
      </c>
      <c r="BK22" t="s">
        <v>427</v>
      </c>
      <c r="BL22">
        <v>3229001188</v>
      </c>
      <c r="BM22" t="s">
        <v>428</v>
      </c>
      <c r="BP22">
        <v>730010282207</v>
      </c>
      <c r="BQ22" t="s">
        <v>162</v>
      </c>
      <c r="BR22" t="s">
        <v>97</v>
      </c>
      <c r="BS22" t="s">
        <v>429</v>
      </c>
      <c r="BT22">
        <v>3108715074</v>
      </c>
      <c r="BU22" t="s">
        <v>430</v>
      </c>
      <c r="BV22">
        <v>8000037651</v>
      </c>
      <c r="BZ22" t="s">
        <v>206</v>
      </c>
      <c r="CA22" t="s">
        <v>431</v>
      </c>
      <c r="CB22" t="s">
        <v>105</v>
      </c>
      <c r="CC22">
        <v>111048874</v>
      </c>
      <c r="CD22">
        <v>1</v>
      </c>
      <c r="CE22">
        <v>0</v>
      </c>
      <c r="CG22" t="s">
        <v>97</v>
      </c>
      <c r="CH22">
        <v>1</v>
      </c>
      <c r="CI22" t="s">
        <v>432</v>
      </c>
      <c r="CJ22">
        <v>36</v>
      </c>
      <c r="CK22">
        <v>1</v>
      </c>
      <c r="CL22">
        <v>1</v>
      </c>
      <c r="CM22">
        <v>1</v>
      </c>
      <c r="CN22">
        <v>2</v>
      </c>
      <c r="CO22">
        <v>1</v>
      </c>
      <c r="CP22">
        <v>2</v>
      </c>
      <c r="CQ22">
        <v>2</v>
      </c>
      <c r="CR22">
        <v>1</v>
      </c>
      <c r="CS22">
        <v>1</v>
      </c>
      <c r="CT22">
        <v>2</v>
      </c>
      <c r="CV22">
        <v>2</v>
      </c>
      <c r="CY22">
        <v>2</v>
      </c>
      <c r="CZ22" s="8" t="s">
        <v>97</v>
      </c>
      <c r="DA22" t="s">
        <v>99</v>
      </c>
      <c r="DB22" t="s">
        <v>162</v>
      </c>
      <c r="DC22" t="s">
        <v>124</v>
      </c>
      <c r="DD22" t="s">
        <v>100</v>
      </c>
      <c r="DE22" t="s">
        <v>131</v>
      </c>
      <c r="DF22" t="s">
        <v>124</v>
      </c>
      <c r="DG22" t="s">
        <v>100</v>
      </c>
      <c r="DH22" t="s">
        <v>131</v>
      </c>
      <c r="DI22" t="s">
        <v>100</v>
      </c>
      <c r="DJ22" t="s">
        <v>131</v>
      </c>
      <c r="DK22" t="s">
        <v>430</v>
      </c>
      <c r="DL22">
        <v>0</v>
      </c>
      <c r="DN22" s="2" t="str">
        <f t="shared" ref="DN22:DN24" si="6">IF(CZ22="  -   -",IF(CZ22="","ESPACIO","SIN FECHA"),IF(CZ22&gt;DO22,"INOPORTUNA","OPORTUNA"))</f>
        <v>SIN FECHA</v>
      </c>
      <c r="DO22" s="4">
        <f t="shared" ref="DO22:DO24" si="7">IF(B22="","-",DATE(YEAR(B22),MONTH(B22),DAY(B22)+3))</f>
        <v>45823</v>
      </c>
    </row>
    <row r="23" spans="1:119" x14ac:dyDescent="0.15">
      <c r="A23">
        <v>800</v>
      </c>
      <c r="B23" t="s">
        <v>433</v>
      </c>
      <c r="C23">
        <v>14</v>
      </c>
      <c r="D23">
        <v>2025</v>
      </c>
      <c r="E23">
        <v>7300102424</v>
      </c>
      <c r="F23">
        <v>3</v>
      </c>
      <c r="G23" t="s">
        <v>434</v>
      </c>
      <c r="H23" t="s">
        <v>435</v>
      </c>
      <c r="I23" t="s">
        <v>436</v>
      </c>
      <c r="J23" t="s">
        <v>437</v>
      </c>
      <c r="K23" t="s">
        <v>94</v>
      </c>
      <c r="L23">
        <v>1107993378</v>
      </c>
      <c r="M23">
        <v>8</v>
      </c>
      <c r="N23">
        <v>2</v>
      </c>
      <c r="O23">
        <v>170</v>
      </c>
      <c r="P23" t="s">
        <v>124</v>
      </c>
      <c r="Q23" t="s">
        <v>95</v>
      </c>
      <c r="R23">
        <v>1</v>
      </c>
      <c r="T23">
        <v>1</v>
      </c>
      <c r="V23">
        <v>170</v>
      </c>
      <c r="W23">
        <v>73</v>
      </c>
      <c r="X23">
        <v>1</v>
      </c>
      <c r="Y23">
        <v>1</v>
      </c>
      <c r="Z23" t="s">
        <v>130</v>
      </c>
      <c r="AC23" t="s">
        <v>438</v>
      </c>
      <c r="AD23" t="s">
        <v>439</v>
      </c>
      <c r="AG23" t="s">
        <v>132</v>
      </c>
      <c r="AH23" t="s">
        <v>127</v>
      </c>
      <c r="AI23" t="s">
        <v>156</v>
      </c>
      <c r="AJ23">
        <v>6</v>
      </c>
      <c r="AL23">
        <v>2</v>
      </c>
      <c r="AM23">
        <v>2</v>
      </c>
      <c r="AN23">
        <v>2</v>
      </c>
      <c r="AO23">
        <v>2</v>
      </c>
      <c r="AP23">
        <v>2</v>
      </c>
      <c r="AQ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1</v>
      </c>
      <c r="AZ23">
        <v>3</v>
      </c>
      <c r="BA23">
        <v>170</v>
      </c>
      <c r="BB23">
        <v>73</v>
      </c>
      <c r="BC23">
        <v>1</v>
      </c>
      <c r="BD23" t="s">
        <v>440</v>
      </c>
      <c r="BE23" t="s">
        <v>228</v>
      </c>
      <c r="BF23">
        <v>2</v>
      </c>
      <c r="BG23">
        <v>1</v>
      </c>
      <c r="BH23" t="s">
        <v>440</v>
      </c>
      <c r="BI23">
        <v>1</v>
      </c>
      <c r="BJ23" t="s">
        <v>97</v>
      </c>
      <c r="BK23">
        <v>6</v>
      </c>
      <c r="BL23">
        <v>3112265742</v>
      </c>
      <c r="BM23" t="s">
        <v>441</v>
      </c>
      <c r="BP23">
        <v>730000000000</v>
      </c>
      <c r="BQ23" t="s">
        <v>203</v>
      </c>
      <c r="BR23" t="s">
        <v>97</v>
      </c>
      <c r="BS23" t="s">
        <v>442</v>
      </c>
      <c r="BT23">
        <v>2770033</v>
      </c>
      <c r="BU23" t="s">
        <v>205</v>
      </c>
      <c r="BV23">
        <v>8001493846</v>
      </c>
      <c r="BZ23" t="s">
        <v>192</v>
      </c>
      <c r="CA23" t="s">
        <v>443</v>
      </c>
      <c r="CB23" t="s">
        <v>105</v>
      </c>
      <c r="CC23">
        <v>1005933068</v>
      </c>
      <c r="CD23">
        <v>2</v>
      </c>
      <c r="CE23">
        <v>3</v>
      </c>
      <c r="CF23">
        <v>2</v>
      </c>
      <c r="CG23" t="s">
        <v>444</v>
      </c>
      <c r="CH23">
        <v>2</v>
      </c>
      <c r="CI23" t="s">
        <v>97</v>
      </c>
      <c r="CK23">
        <v>1</v>
      </c>
      <c r="CL23">
        <v>2</v>
      </c>
      <c r="CM23">
        <v>1</v>
      </c>
      <c r="CN23">
        <v>20</v>
      </c>
      <c r="CO23">
        <v>1</v>
      </c>
      <c r="CP23">
        <v>2</v>
      </c>
      <c r="CQ23">
        <v>2</v>
      </c>
      <c r="CR23">
        <v>1</v>
      </c>
      <c r="CS23">
        <v>2</v>
      </c>
      <c r="CT23">
        <v>2</v>
      </c>
      <c r="CV23">
        <v>1</v>
      </c>
      <c r="CW23" t="s">
        <v>102</v>
      </c>
      <c r="CX23">
        <v>3</v>
      </c>
      <c r="CY23">
        <v>1</v>
      </c>
      <c r="CZ23" t="s">
        <v>219</v>
      </c>
      <c r="DA23" t="s">
        <v>99</v>
      </c>
      <c r="DB23" t="s">
        <v>157</v>
      </c>
      <c r="DC23" t="s">
        <v>124</v>
      </c>
      <c r="DD23" t="s">
        <v>100</v>
      </c>
      <c r="DE23" t="s">
        <v>131</v>
      </c>
      <c r="DF23" t="s">
        <v>124</v>
      </c>
      <c r="DG23" t="s">
        <v>100</v>
      </c>
      <c r="DH23" t="s">
        <v>131</v>
      </c>
      <c r="DI23" t="s">
        <v>100</v>
      </c>
      <c r="DJ23" t="s">
        <v>131</v>
      </c>
      <c r="DK23" t="s">
        <v>205</v>
      </c>
      <c r="DL23">
        <v>0</v>
      </c>
      <c r="DN23" s="2" t="str">
        <f t="shared" si="6"/>
        <v>INOPORTUNA</v>
      </c>
      <c r="DO23" s="4">
        <f t="shared" si="7"/>
        <v>45777</v>
      </c>
    </row>
    <row r="24" spans="1:119" x14ac:dyDescent="0.15">
      <c r="A24">
        <v>800</v>
      </c>
      <c r="B24" t="s">
        <v>422</v>
      </c>
      <c r="C24">
        <v>24</v>
      </c>
      <c r="D24">
        <v>2025</v>
      </c>
      <c r="E24">
        <v>7300102822</v>
      </c>
      <c r="F24">
        <v>7</v>
      </c>
      <c r="G24" t="s">
        <v>423</v>
      </c>
      <c r="H24" t="s">
        <v>135</v>
      </c>
      <c r="I24" t="s">
        <v>445</v>
      </c>
      <c r="J24" t="s">
        <v>139</v>
      </c>
      <c r="K24" t="s">
        <v>94</v>
      </c>
      <c r="L24">
        <v>1197476646</v>
      </c>
      <c r="M24">
        <v>1</v>
      </c>
      <c r="N24">
        <v>2</v>
      </c>
      <c r="O24">
        <v>170</v>
      </c>
      <c r="P24" t="s">
        <v>124</v>
      </c>
      <c r="Q24" t="s">
        <v>101</v>
      </c>
      <c r="R24">
        <v>2</v>
      </c>
      <c r="T24">
        <v>1</v>
      </c>
      <c r="V24">
        <v>170</v>
      </c>
      <c r="W24">
        <v>73</v>
      </c>
      <c r="X24">
        <v>1</v>
      </c>
      <c r="Y24">
        <v>1</v>
      </c>
      <c r="Z24" t="s">
        <v>131</v>
      </c>
      <c r="AC24" t="s">
        <v>446</v>
      </c>
      <c r="AD24" t="s">
        <v>447</v>
      </c>
      <c r="AG24" t="s">
        <v>132</v>
      </c>
      <c r="AH24" t="s">
        <v>127</v>
      </c>
      <c r="AI24" t="s">
        <v>128</v>
      </c>
      <c r="AJ24">
        <v>6</v>
      </c>
      <c r="AL24">
        <v>2</v>
      </c>
      <c r="AM24">
        <v>2</v>
      </c>
      <c r="AN24">
        <v>2</v>
      </c>
      <c r="AO24">
        <v>2</v>
      </c>
      <c r="AP24">
        <v>2</v>
      </c>
      <c r="AQ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1</v>
      </c>
      <c r="AZ24">
        <v>1</v>
      </c>
      <c r="BA24">
        <v>170</v>
      </c>
      <c r="BB24">
        <v>73</v>
      </c>
      <c r="BC24">
        <v>1</v>
      </c>
      <c r="BD24" t="s">
        <v>422</v>
      </c>
      <c r="BE24" t="s">
        <v>448</v>
      </c>
      <c r="BF24">
        <v>2</v>
      </c>
      <c r="BG24">
        <v>2</v>
      </c>
      <c r="BH24" t="s">
        <v>97</v>
      </c>
      <c r="BI24">
        <v>1</v>
      </c>
      <c r="BJ24" t="s">
        <v>97</v>
      </c>
      <c r="BK24">
        <v>6</v>
      </c>
      <c r="BL24">
        <v>3229001188</v>
      </c>
      <c r="BM24" t="s">
        <v>428</v>
      </c>
      <c r="BP24">
        <v>730010282207</v>
      </c>
      <c r="BQ24" t="s">
        <v>162</v>
      </c>
      <c r="BR24" t="s">
        <v>97</v>
      </c>
      <c r="BS24" t="s">
        <v>449</v>
      </c>
      <c r="BT24">
        <v>3107528906</v>
      </c>
      <c r="BU24" t="s">
        <v>398</v>
      </c>
      <c r="BV24">
        <v>8000037651</v>
      </c>
      <c r="BZ24" t="s">
        <v>192</v>
      </c>
      <c r="CA24" t="s">
        <v>450</v>
      </c>
      <c r="CB24" t="s">
        <v>105</v>
      </c>
      <c r="CC24">
        <v>1110480878</v>
      </c>
      <c r="CD24">
        <v>1</v>
      </c>
      <c r="CE24">
        <v>0</v>
      </c>
      <c r="CG24" t="s">
        <v>97</v>
      </c>
      <c r="CH24">
        <v>1</v>
      </c>
      <c r="CI24" t="s">
        <v>451</v>
      </c>
      <c r="CJ24">
        <v>27</v>
      </c>
      <c r="CK24">
        <v>1</v>
      </c>
      <c r="CL24">
        <v>1</v>
      </c>
      <c r="CM24">
        <v>1</v>
      </c>
      <c r="CN24">
        <v>4</v>
      </c>
      <c r="CO24">
        <v>2</v>
      </c>
      <c r="CP24">
        <v>1</v>
      </c>
      <c r="CQ24">
        <v>2</v>
      </c>
      <c r="CR24">
        <v>2</v>
      </c>
      <c r="CS24">
        <v>2</v>
      </c>
      <c r="CT24">
        <v>2</v>
      </c>
      <c r="CV24">
        <v>2</v>
      </c>
      <c r="CY24">
        <v>1</v>
      </c>
      <c r="CZ24" t="s">
        <v>452</v>
      </c>
      <c r="DA24" t="s">
        <v>99</v>
      </c>
      <c r="DB24" t="s">
        <v>162</v>
      </c>
      <c r="DC24" t="s">
        <v>124</v>
      </c>
      <c r="DD24" t="s">
        <v>100</v>
      </c>
      <c r="DE24" t="s">
        <v>131</v>
      </c>
      <c r="DF24" t="s">
        <v>124</v>
      </c>
      <c r="DG24" t="s">
        <v>100</v>
      </c>
      <c r="DH24" t="s">
        <v>131</v>
      </c>
      <c r="DI24" t="s">
        <v>100</v>
      </c>
      <c r="DJ24" t="s">
        <v>131</v>
      </c>
      <c r="DK24" t="s">
        <v>398</v>
      </c>
      <c r="DL24">
        <v>0</v>
      </c>
      <c r="DN24" s="2" t="str">
        <f t="shared" si="6"/>
        <v>INOPORTUNA</v>
      </c>
      <c r="DO24" s="4">
        <f t="shared" si="7"/>
        <v>45823</v>
      </c>
    </row>
    <row r="25" spans="1:119" x14ac:dyDescent="0.15">
      <c r="A25">
        <v>800</v>
      </c>
      <c r="B25" t="s">
        <v>333</v>
      </c>
      <c r="C25">
        <v>26</v>
      </c>
      <c r="D25">
        <v>2025</v>
      </c>
      <c r="E25">
        <v>7300102822</v>
      </c>
      <c r="F25">
        <v>1</v>
      </c>
      <c r="G25" t="s">
        <v>453</v>
      </c>
      <c r="H25" t="s">
        <v>163</v>
      </c>
      <c r="I25" t="s">
        <v>197</v>
      </c>
      <c r="J25" t="s">
        <v>454</v>
      </c>
      <c r="K25" t="s">
        <v>94</v>
      </c>
      <c r="L25">
        <v>1104959009</v>
      </c>
      <c r="M25">
        <v>1</v>
      </c>
      <c r="N25">
        <v>2</v>
      </c>
      <c r="O25">
        <v>170</v>
      </c>
      <c r="P25" t="s">
        <v>124</v>
      </c>
      <c r="Q25" t="s">
        <v>95</v>
      </c>
      <c r="R25">
        <v>1</v>
      </c>
      <c r="T25">
        <v>1</v>
      </c>
      <c r="V25">
        <v>170</v>
      </c>
      <c r="W25">
        <v>73</v>
      </c>
      <c r="X25">
        <v>1</v>
      </c>
      <c r="Y25">
        <v>1</v>
      </c>
      <c r="Z25">
        <v>0</v>
      </c>
      <c r="AB25" t="s">
        <v>455</v>
      </c>
      <c r="AC25" t="s">
        <v>405</v>
      </c>
      <c r="AD25" t="s">
        <v>456</v>
      </c>
      <c r="AG25" t="s">
        <v>132</v>
      </c>
      <c r="AH25" t="s">
        <v>96</v>
      </c>
      <c r="AI25" t="s">
        <v>147</v>
      </c>
      <c r="AJ25">
        <v>6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1</v>
      </c>
      <c r="AZ25">
        <v>1</v>
      </c>
      <c r="BA25">
        <v>170</v>
      </c>
      <c r="BB25">
        <v>73</v>
      </c>
      <c r="BC25">
        <v>1</v>
      </c>
      <c r="BD25" t="s">
        <v>333</v>
      </c>
      <c r="BE25" t="s">
        <v>377</v>
      </c>
      <c r="BF25">
        <v>2</v>
      </c>
      <c r="BG25">
        <v>1</v>
      </c>
      <c r="BH25" t="s">
        <v>333</v>
      </c>
      <c r="BI25">
        <v>1</v>
      </c>
      <c r="BJ25" t="s">
        <v>97</v>
      </c>
      <c r="BK25">
        <v>6</v>
      </c>
      <c r="BL25">
        <v>3212950513</v>
      </c>
      <c r="BM25" t="s">
        <v>394</v>
      </c>
      <c r="BP25">
        <v>730010282207</v>
      </c>
      <c r="BQ25" t="s">
        <v>162</v>
      </c>
      <c r="BR25" t="s">
        <v>97</v>
      </c>
      <c r="BS25" t="s">
        <v>457</v>
      </c>
      <c r="BT25">
        <v>3013784021</v>
      </c>
      <c r="BU25" t="s">
        <v>297</v>
      </c>
      <c r="BV25">
        <v>8000037651</v>
      </c>
      <c r="BZ25" t="s">
        <v>192</v>
      </c>
      <c r="CA25" t="s">
        <v>458</v>
      </c>
      <c r="CB25" t="s">
        <v>105</v>
      </c>
      <c r="CC25">
        <v>1110460481</v>
      </c>
      <c r="CD25">
        <v>1</v>
      </c>
      <c r="CE25">
        <v>0</v>
      </c>
      <c r="CG25" t="s">
        <v>97</v>
      </c>
      <c r="CH25">
        <v>2</v>
      </c>
      <c r="CI25" t="s">
        <v>97</v>
      </c>
      <c r="CK25">
        <v>1</v>
      </c>
      <c r="CL25">
        <v>1</v>
      </c>
      <c r="CM25">
        <v>1</v>
      </c>
      <c r="CN25">
        <v>5</v>
      </c>
      <c r="CO25">
        <v>1</v>
      </c>
      <c r="CP25">
        <v>2</v>
      </c>
      <c r="CQ25">
        <v>2</v>
      </c>
      <c r="CR25">
        <v>1</v>
      </c>
      <c r="CS25">
        <v>2</v>
      </c>
      <c r="CT25">
        <v>2</v>
      </c>
      <c r="CV25">
        <v>2</v>
      </c>
      <c r="CY25">
        <v>1</v>
      </c>
      <c r="CZ25" t="s">
        <v>459</v>
      </c>
      <c r="DA25" t="s">
        <v>99</v>
      </c>
      <c r="DB25" t="s">
        <v>460</v>
      </c>
      <c r="DC25" t="s">
        <v>124</v>
      </c>
      <c r="DD25" t="s">
        <v>100</v>
      </c>
      <c r="DE25" t="s">
        <v>131</v>
      </c>
      <c r="DF25" t="s">
        <v>124</v>
      </c>
      <c r="DG25" t="s">
        <v>100</v>
      </c>
      <c r="DH25" t="s">
        <v>131</v>
      </c>
      <c r="DI25" t="s">
        <v>100</v>
      </c>
      <c r="DJ25" t="s">
        <v>131</v>
      </c>
      <c r="DK25" t="s">
        <v>345</v>
      </c>
      <c r="DL25">
        <v>0</v>
      </c>
      <c r="DN25" s="2" t="str">
        <f t="shared" ref="DN25:DN27" si="8">IF(CZ25="  -   -",IF(CZ25="","ESPACIO","SIN FECHA"),IF(CZ25&gt;DO25,"INOPORTUNA","OPORTUNA"))</f>
        <v>INOPORTUNA</v>
      </c>
      <c r="DO25" s="4">
        <f t="shared" ref="DO25:DO27" si="9">IF(B25="","-",DATE(YEAR(B25),MONTH(B25),DAY(B25)+3))</f>
        <v>45838</v>
      </c>
    </row>
    <row r="26" spans="1:119" x14ac:dyDescent="0.15">
      <c r="A26">
        <v>800</v>
      </c>
      <c r="B26" t="s">
        <v>461</v>
      </c>
      <c r="C26">
        <v>17</v>
      </c>
      <c r="D26">
        <v>2025</v>
      </c>
      <c r="E26">
        <v>7300102822</v>
      </c>
      <c r="F26">
        <v>7</v>
      </c>
      <c r="G26" t="s">
        <v>163</v>
      </c>
      <c r="H26" t="s">
        <v>234</v>
      </c>
      <c r="I26" t="s">
        <v>462</v>
      </c>
      <c r="J26" t="s">
        <v>463</v>
      </c>
      <c r="K26" t="s">
        <v>94</v>
      </c>
      <c r="L26">
        <v>1106640036</v>
      </c>
      <c r="M26">
        <v>4</v>
      </c>
      <c r="N26">
        <v>1</v>
      </c>
      <c r="O26">
        <v>170</v>
      </c>
      <c r="P26" t="s">
        <v>124</v>
      </c>
      <c r="Q26" t="s">
        <v>95</v>
      </c>
      <c r="R26">
        <v>1</v>
      </c>
      <c r="T26">
        <v>1</v>
      </c>
      <c r="V26">
        <v>170</v>
      </c>
      <c r="W26">
        <v>73</v>
      </c>
      <c r="X26">
        <v>1</v>
      </c>
      <c r="Y26">
        <v>1</v>
      </c>
      <c r="Z26" t="s">
        <v>130</v>
      </c>
      <c r="AC26" t="s">
        <v>464</v>
      </c>
      <c r="AD26" t="s">
        <v>465</v>
      </c>
      <c r="AG26" t="s">
        <v>271</v>
      </c>
      <c r="AH26" t="s">
        <v>127</v>
      </c>
      <c r="AI26" t="s">
        <v>128</v>
      </c>
      <c r="AJ26">
        <v>6</v>
      </c>
      <c r="AL26">
        <v>3</v>
      </c>
      <c r="AM26">
        <v>2</v>
      </c>
      <c r="AN26">
        <v>2</v>
      </c>
      <c r="AO26">
        <v>2</v>
      </c>
      <c r="AP26">
        <v>2</v>
      </c>
      <c r="AQ26">
        <v>2</v>
      </c>
      <c r="AS26">
        <v>2</v>
      </c>
      <c r="AT26">
        <v>2</v>
      </c>
      <c r="AU26">
        <v>2</v>
      </c>
      <c r="AV26">
        <v>2</v>
      </c>
      <c r="AW26">
        <v>2</v>
      </c>
      <c r="AX26">
        <v>2</v>
      </c>
      <c r="AY26">
        <v>1</v>
      </c>
      <c r="AZ26">
        <v>1</v>
      </c>
      <c r="BA26">
        <v>170</v>
      </c>
      <c r="BB26">
        <v>73</v>
      </c>
      <c r="BC26">
        <v>1</v>
      </c>
      <c r="BD26" t="s">
        <v>430</v>
      </c>
      <c r="BE26" t="s">
        <v>466</v>
      </c>
      <c r="BF26">
        <v>2</v>
      </c>
      <c r="BG26">
        <v>2</v>
      </c>
      <c r="BH26" t="s">
        <v>97</v>
      </c>
      <c r="BI26">
        <v>1</v>
      </c>
      <c r="BJ26" t="s">
        <v>97</v>
      </c>
      <c r="BK26">
        <v>6</v>
      </c>
      <c r="BL26">
        <v>3212193816</v>
      </c>
      <c r="BM26" t="s">
        <v>467</v>
      </c>
      <c r="BP26">
        <v>730010282207</v>
      </c>
      <c r="BQ26" t="s">
        <v>162</v>
      </c>
      <c r="BR26" t="s">
        <v>97</v>
      </c>
      <c r="BS26" t="s">
        <v>468</v>
      </c>
      <c r="BT26">
        <v>3128983925</v>
      </c>
      <c r="BU26" t="s">
        <v>297</v>
      </c>
      <c r="BV26">
        <v>8000037651</v>
      </c>
      <c r="BZ26" t="s">
        <v>192</v>
      </c>
      <c r="CA26" t="s">
        <v>469</v>
      </c>
      <c r="CB26" t="s">
        <v>105</v>
      </c>
      <c r="CC26">
        <v>11685779</v>
      </c>
      <c r="CD26">
        <v>1</v>
      </c>
      <c r="CE26">
        <v>4</v>
      </c>
      <c r="CG26" t="s">
        <v>470</v>
      </c>
      <c r="CH26">
        <v>1</v>
      </c>
      <c r="CI26" t="s">
        <v>471</v>
      </c>
      <c r="CJ26">
        <v>23</v>
      </c>
      <c r="CK26">
        <v>1</v>
      </c>
      <c r="CL26">
        <v>2</v>
      </c>
      <c r="CM26">
        <v>1</v>
      </c>
      <c r="CN26">
        <v>60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2</v>
      </c>
      <c r="CV26">
        <v>1</v>
      </c>
      <c r="CW26" t="s">
        <v>102</v>
      </c>
      <c r="CX26">
        <v>3</v>
      </c>
      <c r="CY26">
        <v>1</v>
      </c>
      <c r="CZ26" t="s">
        <v>472</v>
      </c>
      <c r="DA26" t="s">
        <v>99</v>
      </c>
      <c r="DB26" t="s">
        <v>162</v>
      </c>
      <c r="DC26" t="s">
        <v>124</v>
      </c>
      <c r="DD26" t="s">
        <v>100</v>
      </c>
      <c r="DE26" t="s">
        <v>131</v>
      </c>
      <c r="DF26" t="s">
        <v>124</v>
      </c>
      <c r="DG26" t="s">
        <v>100</v>
      </c>
      <c r="DH26" t="s">
        <v>131</v>
      </c>
      <c r="DI26" t="s">
        <v>100</v>
      </c>
      <c r="DJ26" t="s">
        <v>131</v>
      </c>
      <c r="DK26" t="s">
        <v>297</v>
      </c>
      <c r="DL26">
        <v>0</v>
      </c>
      <c r="DN26" s="2" t="str">
        <f t="shared" si="8"/>
        <v>INOPORTUNA</v>
      </c>
      <c r="DO26" s="4">
        <f t="shared" si="9"/>
        <v>45829</v>
      </c>
    </row>
    <row r="27" spans="1:119" x14ac:dyDescent="0.15">
      <c r="A27" s="8">
        <v>800</v>
      </c>
      <c r="B27" s="8" t="s">
        <v>354</v>
      </c>
      <c r="C27" s="8">
        <v>30</v>
      </c>
      <c r="D27" s="8">
        <v>2025</v>
      </c>
      <c r="E27" s="8">
        <v>7300102424</v>
      </c>
      <c r="F27" s="8">
        <v>3</v>
      </c>
      <c r="G27" s="8" t="s">
        <v>473</v>
      </c>
      <c r="H27" s="8"/>
      <c r="I27" s="8" t="s">
        <v>474</v>
      </c>
      <c r="J27" s="8" t="s">
        <v>475</v>
      </c>
      <c r="K27" s="8" t="s">
        <v>94</v>
      </c>
      <c r="L27" s="8">
        <v>1106234956</v>
      </c>
      <c r="M27" s="8">
        <v>4</v>
      </c>
      <c r="N27" s="8">
        <v>2</v>
      </c>
      <c r="O27" s="8">
        <v>170</v>
      </c>
      <c r="P27" s="8" t="s">
        <v>124</v>
      </c>
      <c r="Q27" s="8" t="s">
        <v>101</v>
      </c>
      <c r="R27" s="8">
        <v>2</v>
      </c>
      <c r="S27" s="8"/>
      <c r="T27" s="8">
        <v>1</v>
      </c>
      <c r="U27" s="8"/>
      <c r="V27" s="8">
        <v>170</v>
      </c>
      <c r="W27" s="8">
        <v>73</v>
      </c>
      <c r="X27" s="8">
        <v>1</v>
      </c>
      <c r="Y27" s="8">
        <v>1</v>
      </c>
      <c r="Z27" s="8" t="s">
        <v>130</v>
      </c>
      <c r="AA27" s="8"/>
      <c r="AB27" s="8"/>
      <c r="AC27" s="8" t="s">
        <v>476</v>
      </c>
      <c r="AD27" s="8" t="s">
        <v>477</v>
      </c>
      <c r="AE27" s="8"/>
      <c r="AF27" s="8"/>
      <c r="AG27" s="8" t="s">
        <v>132</v>
      </c>
      <c r="AH27" s="8" t="s">
        <v>127</v>
      </c>
      <c r="AI27" s="8" t="s">
        <v>156</v>
      </c>
      <c r="AJ27" s="8">
        <v>6</v>
      </c>
      <c r="AK27" s="8"/>
      <c r="AL27" s="8">
        <v>2</v>
      </c>
      <c r="AM27" s="8">
        <v>2</v>
      </c>
      <c r="AN27" s="8">
        <v>2</v>
      </c>
      <c r="AO27" s="8">
        <v>2</v>
      </c>
      <c r="AP27" s="8">
        <v>2</v>
      </c>
      <c r="AQ27" s="8">
        <v>2</v>
      </c>
      <c r="AR27" s="8"/>
      <c r="AS27" s="8">
        <v>2</v>
      </c>
      <c r="AT27" s="8">
        <v>2</v>
      </c>
      <c r="AU27" s="8">
        <v>2</v>
      </c>
      <c r="AV27" s="8">
        <v>2</v>
      </c>
      <c r="AW27" s="8">
        <v>2</v>
      </c>
      <c r="AX27" s="8">
        <v>2</v>
      </c>
      <c r="AY27" s="8">
        <v>1</v>
      </c>
      <c r="AZ27" s="8">
        <v>3</v>
      </c>
      <c r="BA27" s="8">
        <v>170</v>
      </c>
      <c r="BB27" s="8">
        <v>73</v>
      </c>
      <c r="BC27" s="8">
        <v>1</v>
      </c>
      <c r="BD27" s="8" t="s">
        <v>381</v>
      </c>
      <c r="BE27" s="8" t="s">
        <v>478</v>
      </c>
      <c r="BF27" s="8">
        <v>2</v>
      </c>
      <c r="BG27" s="8">
        <v>1</v>
      </c>
      <c r="BH27" s="8" t="s">
        <v>381</v>
      </c>
      <c r="BI27" s="8">
        <v>1</v>
      </c>
      <c r="BJ27" s="8" t="s">
        <v>97</v>
      </c>
      <c r="BK27" s="8">
        <v>0</v>
      </c>
      <c r="BL27" s="8">
        <v>3115339365</v>
      </c>
      <c r="BM27" s="8" t="s">
        <v>479</v>
      </c>
      <c r="BN27" s="8"/>
      <c r="BO27" s="8"/>
      <c r="BP27" s="8">
        <v>730010242403</v>
      </c>
      <c r="BQ27" s="8" t="s">
        <v>157</v>
      </c>
      <c r="BR27" s="8" t="s">
        <v>97</v>
      </c>
      <c r="BS27" s="8" t="s">
        <v>480</v>
      </c>
      <c r="BT27" s="8">
        <v>2770033</v>
      </c>
      <c r="BU27" s="8" t="s">
        <v>354</v>
      </c>
      <c r="BV27" s="8">
        <v>8001493846</v>
      </c>
      <c r="BW27" s="8"/>
      <c r="BX27" s="8"/>
      <c r="BY27" s="8"/>
      <c r="BZ27" s="8" t="s">
        <v>192</v>
      </c>
      <c r="CA27" s="8" t="s">
        <v>481</v>
      </c>
      <c r="CB27" s="8" t="s">
        <v>105</v>
      </c>
      <c r="CC27" s="8">
        <v>1110595852</v>
      </c>
      <c r="CD27" s="8">
        <v>2</v>
      </c>
      <c r="CE27" s="8">
        <v>1</v>
      </c>
      <c r="CF27" s="8">
        <v>2</v>
      </c>
      <c r="CG27" s="8" t="s">
        <v>251</v>
      </c>
      <c r="CH27" s="8">
        <v>1</v>
      </c>
      <c r="CI27" s="8" t="s">
        <v>482</v>
      </c>
      <c r="CJ27" s="8">
        <v>26</v>
      </c>
      <c r="CK27" s="8">
        <v>1</v>
      </c>
      <c r="CL27" s="8">
        <v>1</v>
      </c>
      <c r="CM27" s="8">
        <v>1</v>
      </c>
      <c r="CN27" s="8">
        <v>9</v>
      </c>
      <c r="CO27" s="8">
        <v>1</v>
      </c>
      <c r="CP27" s="8">
        <v>1</v>
      </c>
      <c r="CQ27" s="8">
        <v>1</v>
      </c>
      <c r="CR27" s="8">
        <v>1</v>
      </c>
      <c r="CS27" s="8">
        <v>1</v>
      </c>
      <c r="CT27" s="8">
        <v>2</v>
      </c>
      <c r="CU27" s="8"/>
      <c r="CV27" s="8">
        <v>1</v>
      </c>
      <c r="CW27" s="8" t="s">
        <v>102</v>
      </c>
      <c r="CX27" s="8">
        <v>5</v>
      </c>
      <c r="CY27" s="8">
        <v>1</v>
      </c>
      <c r="CZ27" s="8" t="s">
        <v>354</v>
      </c>
      <c r="DA27" s="8" t="s">
        <v>99</v>
      </c>
      <c r="DB27" s="8" t="s">
        <v>157</v>
      </c>
      <c r="DC27" s="8" t="s">
        <v>124</v>
      </c>
      <c r="DD27" s="8" t="s">
        <v>100</v>
      </c>
      <c r="DE27" s="8" t="s">
        <v>131</v>
      </c>
      <c r="DF27" s="8" t="s">
        <v>124</v>
      </c>
      <c r="DG27" s="8" t="s">
        <v>100</v>
      </c>
      <c r="DH27" s="8" t="s">
        <v>131</v>
      </c>
      <c r="DI27" s="8" t="s">
        <v>100</v>
      </c>
      <c r="DJ27" s="8" t="s">
        <v>131</v>
      </c>
      <c r="DK27" s="8" t="s">
        <v>354</v>
      </c>
      <c r="DL27" s="8">
        <v>0</v>
      </c>
      <c r="DN27" s="2" t="str">
        <f t="shared" si="8"/>
        <v>INOPORTUNA</v>
      </c>
      <c r="DO27" s="4">
        <f t="shared" si="9"/>
        <v>45871</v>
      </c>
    </row>
    <row r="28" spans="1:119" x14ac:dyDescent="0.15">
      <c r="A28">
        <v>800</v>
      </c>
      <c r="B28" t="s">
        <v>383</v>
      </c>
      <c r="C28">
        <v>30</v>
      </c>
      <c r="D28">
        <v>2025</v>
      </c>
      <c r="E28">
        <v>7316800905</v>
      </c>
      <c r="F28">
        <v>1</v>
      </c>
      <c r="G28" t="s">
        <v>233</v>
      </c>
      <c r="H28" t="s">
        <v>177</v>
      </c>
      <c r="I28" t="s">
        <v>483</v>
      </c>
      <c r="J28" t="s">
        <v>484</v>
      </c>
      <c r="K28" t="s">
        <v>94</v>
      </c>
      <c r="L28">
        <v>1030292449</v>
      </c>
      <c r="M28">
        <v>5</v>
      </c>
      <c r="N28">
        <v>2</v>
      </c>
      <c r="O28">
        <v>170</v>
      </c>
      <c r="P28" t="s">
        <v>124</v>
      </c>
      <c r="Q28" t="s">
        <v>95</v>
      </c>
      <c r="R28">
        <v>2</v>
      </c>
      <c r="T28">
        <v>4</v>
      </c>
      <c r="U28" t="s">
        <v>485</v>
      </c>
      <c r="V28">
        <v>170</v>
      </c>
      <c r="W28">
        <v>73</v>
      </c>
      <c r="X28">
        <v>616</v>
      </c>
      <c r="Y28">
        <v>3</v>
      </c>
      <c r="AB28" t="s">
        <v>486</v>
      </c>
      <c r="AD28" t="s">
        <v>487</v>
      </c>
      <c r="AG28" t="s">
        <v>132</v>
      </c>
      <c r="AH28" t="s">
        <v>96</v>
      </c>
      <c r="AI28" t="s">
        <v>145</v>
      </c>
      <c r="AJ28">
        <v>6</v>
      </c>
      <c r="AL28">
        <v>1</v>
      </c>
      <c r="AM28">
        <v>2</v>
      </c>
      <c r="AN28">
        <v>2</v>
      </c>
      <c r="AO28">
        <v>2</v>
      </c>
      <c r="AP28">
        <v>2</v>
      </c>
      <c r="AQ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1</v>
      </c>
      <c r="AZ28">
        <v>1</v>
      </c>
      <c r="BA28">
        <v>170</v>
      </c>
      <c r="BB28">
        <v>73</v>
      </c>
      <c r="BC28">
        <v>616</v>
      </c>
      <c r="BD28" t="s">
        <v>290</v>
      </c>
      <c r="BE28" t="s">
        <v>478</v>
      </c>
      <c r="BF28">
        <v>2</v>
      </c>
      <c r="BG28">
        <v>1</v>
      </c>
      <c r="BH28" t="s">
        <v>290</v>
      </c>
      <c r="BI28">
        <v>1</v>
      </c>
      <c r="BJ28" t="s">
        <v>97</v>
      </c>
      <c r="BK28">
        <v>6</v>
      </c>
      <c r="BL28">
        <v>3143902319</v>
      </c>
      <c r="BM28" t="s">
        <v>488</v>
      </c>
      <c r="BP28">
        <v>731680090501</v>
      </c>
      <c r="BQ28" t="s">
        <v>125</v>
      </c>
      <c r="BR28" t="s">
        <v>97</v>
      </c>
      <c r="BS28" t="s">
        <v>275</v>
      </c>
      <c r="BT28">
        <v>3015864820</v>
      </c>
      <c r="BU28" t="s">
        <v>248</v>
      </c>
      <c r="BV28">
        <v>8907014594</v>
      </c>
      <c r="BZ28" t="s">
        <v>192</v>
      </c>
      <c r="CA28" t="s">
        <v>489</v>
      </c>
      <c r="CB28" t="s">
        <v>105</v>
      </c>
      <c r="CC28">
        <v>1106768955</v>
      </c>
      <c r="CD28">
        <v>2</v>
      </c>
      <c r="CE28">
        <v>1</v>
      </c>
      <c r="CF28">
        <v>1</v>
      </c>
      <c r="CG28" t="s">
        <v>310</v>
      </c>
      <c r="CH28">
        <v>2</v>
      </c>
      <c r="CI28" t="s">
        <v>97</v>
      </c>
      <c r="CK28">
        <v>1</v>
      </c>
      <c r="CL28">
        <v>2</v>
      </c>
      <c r="CM28">
        <v>1</v>
      </c>
      <c r="CN28">
        <v>2</v>
      </c>
      <c r="CO28">
        <v>1</v>
      </c>
      <c r="CP28">
        <v>2</v>
      </c>
      <c r="CQ28">
        <v>1</v>
      </c>
      <c r="CR28">
        <v>1</v>
      </c>
      <c r="CS28">
        <v>2</v>
      </c>
      <c r="CT28">
        <v>2</v>
      </c>
      <c r="CV28">
        <v>2</v>
      </c>
      <c r="CY28">
        <v>1</v>
      </c>
      <c r="CZ28" t="s">
        <v>490</v>
      </c>
      <c r="DA28" t="s">
        <v>99</v>
      </c>
      <c r="DB28" t="s">
        <v>125</v>
      </c>
      <c r="DC28" t="s">
        <v>124</v>
      </c>
      <c r="DD28" t="s">
        <v>100</v>
      </c>
      <c r="DE28" t="s">
        <v>491</v>
      </c>
      <c r="DF28" t="s">
        <v>124</v>
      </c>
      <c r="DG28" t="s">
        <v>100</v>
      </c>
      <c r="DH28" t="s">
        <v>491</v>
      </c>
      <c r="DI28" t="s">
        <v>100</v>
      </c>
      <c r="DJ28" t="s">
        <v>126</v>
      </c>
      <c r="DK28" t="s">
        <v>248</v>
      </c>
      <c r="DL28">
        <v>0</v>
      </c>
      <c r="DN28" s="2" t="str">
        <f t="shared" ref="DN28:DN30" si="10">IF(CZ28="  -   -",IF(CZ28="","ESPACIO","SIN FECHA"),IF(CZ28&gt;DO28,"INOPORTUNA","OPORTUNA"))</f>
        <v>INOPORTUNA</v>
      </c>
      <c r="DO28" s="4">
        <f t="shared" ref="DO28:DO30" si="11">IF(B28="","-",DATE(YEAR(B28),MONTH(B28),DAY(B28)+3))</f>
        <v>45865</v>
      </c>
    </row>
    <row r="29" spans="1:119" x14ac:dyDescent="0.15">
      <c r="A29">
        <v>800</v>
      </c>
      <c r="B29" t="s">
        <v>370</v>
      </c>
      <c r="C29">
        <v>29</v>
      </c>
      <c r="D29">
        <v>2025</v>
      </c>
      <c r="E29">
        <v>7316800905</v>
      </c>
      <c r="F29">
        <v>1</v>
      </c>
      <c r="G29" t="s">
        <v>492</v>
      </c>
      <c r="H29" t="s">
        <v>493</v>
      </c>
      <c r="I29" t="s">
        <v>494</v>
      </c>
      <c r="J29" t="s">
        <v>495</v>
      </c>
      <c r="K29" t="s">
        <v>94</v>
      </c>
      <c r="L29">
        <v>1106795564</v>
      </c>
      <c r="M29">
        <v>6</v>
      </c>
      <c r="N29">
        <v>2</v>
      </c>
      <c r="O29">
        <v>170</v>
      </c>
      <c r="P29" t="s">
        <v>124</v>
      </c>
      <c r="Q29" t="s">
        <v>101</v>
      </c>
      <c r="R29">
        <v>2</v>
      </c>
      <c r="T29">
        <v>1</v>
      </c>
      <c r="V29">
        <v>170</v>
      </c>
      <c r="W29">
        <v>73</v>
      </c>
      <c r="X29">
        <v>168</v>
      </c>
      <c r="Y29">
        <v>1</v>
      </c>
      <c r="Z29" t="s">
        <v>496</v>
      </c>
      <c r="AC29" t="s">
        <v>497</v>
      </c>
      <c r="AD29" t="s">
        <v>498</v>
      </c>
      <c r="AG29" t="s">
        <v>132</v>
      </c>
      <c r="AH29" t="s">
        <v>96</v>
      </c>
      <c r="AI29" t="s">
        <v>178</v>
      </c>
      <c r="AJ29">
        <v>6</v>
      </c>
      <c r="AL29">
        <v>1</v>
      </c>
      <c r="AM29">
        <v>2</v>
      </c>
      <c r="AN29">
        <v>2</v>
      </c>
      <c r="AO29">
        <v>2</v>
      </c>
      <c r="AP29">
        <v>2</v>
      </c>
      <c r="AQ29">
        <v>2</v>
      </c>
      <c r="AS29">
        <v>2</v>
      </c>
      <c r="AT29">
        <v>2</v>
      </c>
      <c r="AU29">
        <v>2</v>
      </c>
      <c r="AV29">
        <v>2</v>
      </c>
      <c r="AW29">
        <v>2</v>
      </c>
      <c r="AX29">
        <v>2</v>
      </c>
      <c r="AY29">
        <v>1</v>
      </c>
      <c r="AZ29">
        <v>1</v>
      </c>
      <c r="BA29">
        <v>170</v>
      </c>
      <c r="BB29">
        <v>73</v>
      </c>
      <c r="BC29">
        <v>168</v>
      </c>
      <c r="BD29" t="s">
        <v>478</v>
      </c>
      <c r="BE29" t="s">
        <v>499</v>
      </c>
      <c r="BF29">
        <v>2</v>
      </c>
      <c r="BG29">
        <v>1</v>
      </c>
      <c r="BH29" t="s">
        <v>478</v>
      </c>
      <c r="BI29">
        <v>1</v>
      </c>
      <c r="BJ29" t="s">
        <v>97</v>
      </c>
      <c r="BK29">
        <v>7</v>
      </c>
      <c r="BL29">
        <v>3123794194</v>
      </c>
      <c r="BM29" t="s">
        <v>500</v>
      </c>
      <c r="BP29">
        <v>731680090501</v>
      </c>
      <c r="BQ29" t="s">
        <v>125</v>
      </c>
      <c r="BR29" t="s">
        <v>97</v>
      </c>
      <c r="BS29" t="s">
        <v>218</v>
      </c>
      <c r="BT29">
        <v>3182240976</v>
      </c>
      <c r="BU29" t="s">
        <v>354</v>
      </c>
      <c r="BV29">
        <v>8907014594</v>
      </c>
      <c r="BZ29" t="s">
        <v>192</v>
      </c>
      <c r="CA29" t="s">
        <v>501</v>
      </c>
      <c r="CB29" t="s">
        <v>105</v>
      </c>
      <c r="CC29">
        <v>1106773534</v>
      </c>
      <c r="CD29">
        <v>3</v>
      </c>
      <c r="CE29">
        <v>2</v>
      </c>
      <c r="CG29" t="s">
        <v>97</v>
      </c>
      <c r="CH29">
        <v>2</v>
      </c>
      <c r="CI29" t="s">
        <v>97</v>
      </c>
      <c r="CK29">
        <v>1</v>
      </c>
      <c r="CL29">
        <v>1</v>
      </c>
      <c r="CM29">
        <v>2</v>
      </c>
      <c r="CO29">
        <v>2</v>
      </c>
      <c r="CP29">
        <v>2</v>
      </c>
      <c r="CQ29">
        <v>2</v>
      </c>
      <c r="CR29">
        <v>2</v>
      </c>
      <c r="CS29">
        <v>2</v>
      </c>
      <c r="CT29">
        <v>2</v>
      </c>
      <c r="CV29">
        <v>1</v>
      </c>
      <c r="CW29" t="s">
        <v>102</v>
      </c>
      <c r="CX29">
        <v>5</v>
      </c>
      <c r="CY29">
        <v>2</v>
      </c>
      <c r="CZ29" s="8" t="s">
        <v>97</v>
      </c>
      <c r="DA29" t="s">
        <v>99</v>
      </c>
      <c r="DB29" t="s">
        <v>125</v>
      </c>
      <c r="DC29" t="s">
        <v>124</v>
      </c>
      <c r="DD29" t="s">
        <v>100</v>
      </c>
      <c r="DE29" t="s">
        <v>126</v>
      </c>
      <c r="DF29" t="s">
        <v>124</v>
      </c>
      <c r="DG29" t="s">
        <v>100</v>
      </c>
      <c r="DH29" t="s">
        <v>126</v>
      </c>
      <c r="DI29" t="s">
        <v>100</v>
      </c>
      <c r="DJ29" t="s">
        <v>126</v>
      </c>
      <c r="DK29" t="s">
        <v>354</v>
      </c>
      <c r="DL29">
        <v>0</v>
      </c>
      <c r="DN29" s="2" t="str">
        <f t="shared" si="10"/>
        <v>SIN FECHA</v>
      </c>
      <c r="DO29" s="4">
        <f t="shared" si="11"/>
        <v>45864</v>
      </c>
    </row>
    <row r="30" spans="1:119" x14ac:dyDescent="0.15">
      <c r="A30">
        <v>800</v>
      </c>
      <c r="B30" t="s">
        <v>260</v>
      </c>
      <c r="C30">
        <v>17</v>
      </c>
      <c r="D30">
        <v>2025</v>
      </c>
      <c r="E30">
        <v>7316800905</v>
      </c>
      <c r="F30">
        <v>1</v>
      </c>
      <c r="G30" t="s">
        <v>152</v>
      </c>
      <c r="H30" t="s">
        <v>502</v>
      </c>
      <c r="I30" t="s">
        <v>503</v>
      </c>
      <c r="J30" t="s">
        <v>144</v>
      </c>
      <c r="K30" t="s">
        <v>94</v>
      </c>
      <c r="L30">
        <v>1106795577</v>
      </c>
      <c r="M30">
        <v>3</v>
      </c>
      <c r="N30">
        <v>2</v>
      </c>
      <c r="O30">
        <v>170</v>
      </c>
      <c r="P30" t="s">
        <v>124</v>
      </c>
      <c r="Q30" t="s">
        <v>101</v>
      </c>
      <c r="R30">
        <v>2</v>
      </c>
      <c r="T30">
        <v>1</v>
      </c>
      <c r="V30">
        <v>170</v>
      </c>
      <c r="W30">
        <v>73</v>
      </c>
      <c r="X30">
        <v>168</v>
      </c>
      <c r="Y30">
        <v>1</v>
      </c>
      <c r="Z30" t="s">
        <v>504</v>
      </c>
      <c r="AC30" t="s">
        <v>505</v>
      </c>
      <c r="AD30" t="s">
        <v>506</v>
      </c>
      <c r="AG30" t="s">
        <v>132</v>
      </c>
      <c r="AH30" t="s">
        <v>96</v>
      </c>
      <c r="AI30" t="s">
        <v>145</v>
      </c>
      <c r="AJ30">
        <v>6</v>
      </c>
      <c r="AL30">
        <v>1</v>
      </c>
      <c r="AM30">
        <v>2</v>
      </c>
      <c r="AN30">
        <v>2</v>
      </c>
      <c r="AO30">
        <v>2</v>
      </c>
      <c r="AP30">
        <v>2</v>
      </c>
      <c r="AQ30">
        <v>2</v>
      </c>
      <c r="AS30">
        <v>2</v>
      </c>
      <c r="AT30">
        <v>2</v>
      </c>
      <c r="AU30">
        <v>2</v>
      </c>
      <c r="AV30">
        <v>2</v>
      </c>
      <c r="AW30">
        <v>2</v>
      </c>
      <c r="AX30">
        <v>2</v>
      </c>
      <c r="AY30">
        <v>1</v>
      </c>
      <c r="AZ30">
        <v>1</v>
      </c>
      <c r="BA30">
        <v>170</v>
      </c>
      <c r="BB30">
        <v>73</v>
      </c>
      <c r="BC30">
        <v>168</v>
      </c>
      <c r="BD30" t="s">
        <v>223</v>
      </c>
      <c r="BE30" t="s">
        <v>507</v>
      </c>
      <c r="BF30">
        <v>2</v>
      </c>
      <c r="BG30">
        <v>1</v>
      </c>
      <c r="BH30" t="s">
        <v>223</v>
      </c>
      <c r="BI30">
        <v>1</v>
      </c>
      <c r="BJ30" t="s">
        <v>97</v>
      </c>
      <c r="BK30">
        <v>6</v>
      </c>
      <c r="BL30">
        <v>3229382244</v>
      </c>
      <c r="BM30" t="s">
        <v>508</v>
      </c>
      <c r="BP30">
        <v>731680090501</v>
      </c>
      <c r="BQ30" t="s">
        <v>125</v>
      </c>
      <c r="BR30" t="s">
        <v>97</v>
      </c>
      <c r="BS30" t="s">
        <v>509</v>
      </c>
      <c r="BT30">
        <v>3015864820</v>
      </c>
      <c r="BU30" t="s">
        <v>229</v>
      </c>
      <c r="BV30">
        <v>8907014594</v>
      </c>
      <c r="BZ30" t="s">
        <v>192</v>
      </c>
      <c r="CA30" t="s">
        <v>510</v>
      </c>
      <c r="CB30" t="s">
        <v>105</v>
      </c>
      <c r="CC30">
        <v>1106787120</v>
      </c>
      <c r="CD30">
        <v>3</v>
      </c>
      <c r="CE30">
        <v>1</v>
      </c>
      <c r="CF30">
        <v>2</v>
      </c>
      <c r="CG30" t="s">
        <v>362</v>
      </c>
      <c r="CH30">
        <v>2</v>
      </c>
      <c r="CI30" t="s">
        <v>97</v>
      </c>
      <c r="CK30">
        <v>1</v>
      </c>
      <c r="CL30">
        <v>2</v>
      </c>
      <c r="CM30">
        <v>1</v>
      </c>
      <c r="CN30">
        <v>30</v>
      </c>
      <c r="CO30">
        <v>1</v>
      </c>
      <c r="CP30">
        <v>2</v>
      </c>
      <c r="CQ30">
        <v>1</v>
      </c>
      <c r="CR30">
        <v>2</v>
      </c>
      <c r="CS30">
        <v>2</v>
      </c>
      <c r="CT30">
        <v>2</v>
      </c>
      <c r="CV30">
        <v>2</v>
      </c>
      <c r="CY30">
        <v>1</v>
      </c>
      <c r="CZ30" t="s">
        <v>260</v>
      </c>
      <c r="DA30" t="s">
        <v>99</v>
      </c>
      <c r="DB30" t="s">
        <v>125</v>
      </c>
      <c r="DC30" t="s">
        <v>124</v>
      </c>
      <c r="DD30" t="s">
        <v>100</v>
      </c>
      <c r="DE30" t="s">
        <v>126</v>
      </c>
      <c r="DF30" t="s">
        <v>124</v>
      </c>
      <c r="DG30" t="s">
        <v>100</v>
      </c>
      <c r="DH30" t="s">
        <v>126</v>
      </c>
      <c r="DI30" t="s">
        <v>100</v>
      </c>
      <c r="DJ30" t="s">
        <v>126</v>
      </c>
      <c r="DK30" t="s">
        <v>280</v>
      </c>
      <c r="DL30">
        <v>0</v>
      </c>
      <c r="DN30" s="2" t="str">
        <f t="shared" si="10"/>
        <v>INOPORTUNA</v>
      </c>
      <c r="DO30" s="4">
        <f t="shared" si="11"/>
        <v>45806</v>
      </c>
    </row>
    <row r="55" spans="1:119" s="2" customFormat="1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O55" s="4"/>
    </row>
    <row r="56" spans="1:119" x14ac:dyDescent="0.15">
      <c r="B56" s="7"/>
      <c r="BD56" s="7"/>
      <c r="BE56" s="7"/>
      <c r="BH56" s="7"/>
      <c r="BM56" s="7"/>
      <c r="BR56" s="7"/>
      <c r="BU56" s="7"/>
      <c r="CG56" s="7"/>
      <c r="CZ56" s="7"/>
    </row>
    <row r="57" spans="1:119" x14ac:dyDescent="0.15">
      <c r="B57" s="7"/>
      <c r="BD57" s="7"/>
      <c r="BE57" s="7"/>
      <c r="BH57" s="7"/>
      <c r="BM57" s="7"/>
      <c r="BR57" s="7"/>
      <c r="BU57" s="7"/>
      <c r="CG57" s="7"/>
    </row>
    <row r="58" spans="1:119" x14ac:dyDescent="0.15">
      <c r="B58" s="7"/>
      <c r="BD58" s="7"/>
      <c r="BE58" s="7"/>
      <c r="BM58" s="7"/>
      <c r="BR58" s="7"/>
      <c r="BU58" s="7"/>
    </row>
    <row r="59" spans="1:119" x14ac:dyDescent="0.15">
      <c r="B59" s="7"/>
      <c r="BD59" s="7"/>
      <c r="BE59" s="7"/>
      <c r="BH59" s="7"/>
      <c r="BM59" s="7"/>
      <c r="BR59" s="7"/>
      <c r="BU59" s="7"/>
      <c r="CG59" s="7"/>
    </row>
    <row r="60" spans="1:119" x14ac:dyDescent="0.15">
      <c r="B60" s="7"/>
      <c r="BD60" s="7"/>
      <c r="BE60" s="7"/>
      <c r="BH60" s="7"/>
      <c r="BM60" s="7"/>
      <c r="BR60" s="7"/>
      <c r="BU60" s="7"/>
    </row>
    <row r="61" spans="1:119" x14ac:dyDescent="0.15">
      <c r="B61" s="7"/>
      <c r="BD61" s="7"/>
      <c r="BE61" s="7"/>
      <c r="BH61" s="7"/>
      <c r="BM61" s="7"/>
      <c r="BR61" s="7"/>
      <c r="BU61" s="7"/>
    </row>
    <row r="62" spans="1:119" x14ac:dyDescent="0.15">
      <c r="B62" s="7"/>
      <c r="BD62" s="7"/>
      <c r="BE62" s="7"/>
      <c r="BH62" s="7"/>
      <c r="BM62" s="7"/>
      <c r="BR62" s="7"/>
      <c r="BU62" s="7"/>
      <c r="CG62" s="7"/>
      <c r="CI62" s="7"/>
      <c r="CJ62" s="7"/>
    </row>
    <row r="63" spans="1:119" x14ac:dyDescent="0.15">
      <c r="B63" s="7"/>
      <c r="BD63" s="7"/>
      <c r="BE63" s="7"/>
      <c r="BH63" s="7"/>
      <c r="BM63" s="7"/>
      <c r="BR63" s="7"/>
      <c r="BU63" s="7"/>
      <c r="CG63" s="7"/>
    </row>
    <row r="64" spans="1:119" x14ac:dyDescent="0.15">
      <c r="B64" s="7"/>
      <c r="BD64" s="7"/>
      <c r="BE64" s="7"/>
      <c r="BH64" s="7"/>
      <c r="BM64" s="7"/>
      <c r="BR64" s="7"/>
      <c r="BU64" s="7"/>
    </row>
    <row r="65" spans="1:119" x14ac:dyDescent="0.15">
      <c r="B65" s="7"/>
      <c r="BD65" s="7"/>
      <c r="BE65" s="7"/>
      <c r="BH65" s="7"/>
      <c r="BM65" s="7"/>
      <c r="BR65" s="7"/>
      <c r="BU65" s="7"/>
      <c r="CZ65" s="7"/>
    </row>
    <row r="66" spans="1:119" x14ac:dyDescent="0.15">
      <c r="B66" s="7"/>
      <c r="BD66" s="7"/>
      <c r="BE66" s="7"/>
      <c r="BH66" s="7"/>
      <c r="BM66" s="7"/>
      <c r="BR66" s="7"/>
      <c r="BU66" s="7"/>
    </row>
    <row r="67" spans="1:119" x14ac:dyDescent="0.15">
      <c r="B67" s="7"/>
      <c r="BD67" s="7"/>
      <c r="BE67" s="7"/>
      <c r="BH67" s="7"/>
      <c r="BM67" s="7"/>
      <c r="BR67" s="7"/>
      <c r="BU67" s="7"/>
    </row>
    <row r="68" spans="1:119" x14ac:dyDescent="0.15">
      <c r="B68" s="7"/>
      <c r="BD68" s="7"/>
      <c r="BE68" s="7"/>
      <c r="BH68" s="7"/>
      <c r="BM68" s="7"/>
      <c r="BR68" s="7"/>
      <c r="BU68" s="7"/>
    </row>
    <row r="69" spans="1:119" x14ac:dyDescent="0.15">
      <c r="B69" s="7"/>
      <c r="BD69" s="7"/>
      <c r="BE69" s="7"/>
      <c r="BH69" s="7"/>
      <c r="BM69" s="7"/>
      <c r="BR69" s="7"/>
      <c r="BU69" s="7"/>
    </row>
    <row r="70" spans="1:119" x14ac:dyDescent="0.15">
      <c r="B70" s="7"/>
      <c r="BD70" s="7"/>
      <c r="BE70" s="7"/>
      <c r="BH70" s="7"/>
      <c r="BM70" s="7"/>
      <c r="BR70" s="7"/>
      <c r="BU70" s="7"/>
      <c r="CI70" s="7"/>
      <c r="CJ70" s="7"/>
    </row>
    <row r="71" spans="1:119" x14ac:dyDescent="0.15">
      <c r="B71" s="7"/>
      <c r="BD71" s="7"/>
      <c r="BE71" s="7"/>
      <c r="BH71" s="7"/>
      <c r="BM71" s="7"/>
      <c r="BR71" s="7"/>
      <c r="BU71" s="7"/>
      <c r="CG71" s="7"/>
    </row>
    <row r="72" spans="1:119" s="2" customFormat="1" x14ac:dyDescent="0.15">
      <c r="A72"/>
      <c r="B72" s="7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 s="7"/>
      <c r="BE72" s="7"/>
      <c r="BF72"/>
      <c r="BG72"/>
      <c r="BH72" s="7"/>
      <c r="BI72"/>
      <c r="BJ72"/>
      <c r="BK72"/>
      <c r="BL72"/>
      <c r="BM72" s="7"/>
      <c r="BN72"/>
      <c r="BO72"/>
      <c r="BP72"/>
      <c r="BQ72"/>
      <c r="BR72" s="7"/>
      <c r="BS72"/>
      <c r="BT72"/>
      <c r="BU72" s="7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O72" s="4"/>
    </row>
    <row r="73" spans="1:119" s="2" customFormat="1" x14ac:dyDescent="0.15">
      <c r="A73"/>
      <c r="B73" s="7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 s="7"/>
      <c r="BE73" s="7"/>
      <c r="BF73"/>
      <c r="BG73"/>
      <c r="BH73" s="7"/>
      <c r="BI73"/>
      <c r="BJ73"/>
      <c r="BK73"/>
      <c r="BL73"/>
      <c r="BM73" s="7"/>
      <c r="BN73"/>
      <c r="BO73"/>
      <c r="BP73"/>
      <c r="BQ73"/>
      <c r="BR73" s="7"/>
      <c r="BS73"/>
      <c r="BT73"/>
      <c r="BU73" s="7"/>
      <c r="BV73"/>
      <c r="BW73"/>
      <c r="BX73"/>
      <c r="BY73"/>
      <c r="BZ73"/>
      <c r="CA73"/>
      <c r="CB73"/>
      <c r="CC73"/>
      <c r="CD73"/>
      <c r="CE73"/>
      <c r="CF73"/>
      <c r="CG73" s="7"/>
      <c r="CH73"/>
      <c r="CI73" s="7"/>
      <c r="CJ73" s="7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O73" s="4"/>
    </row>
    <row r="74" spans="1:119" x14ac:dyDescent="0.15">
      <c r="B74" s="7"/>
      <c r="BD74" s="7"/>
      <c r="BE74" s="7"/>
      <c r="BH74" s="7"/>
      <c r="BM74" s="7"/>
      <c r="BR74" s="7"/>
      <c r="BU74" s="7"/>
      <c r="CG74" s="7"/>
    </row>
    <row r="75" spans="1:119" x14ac:dyDescent="0.15">
      <c r="B75" s="7"/>
      <c r="BD75" s="7"/>
      <c r="BE75" s="7"/>
      <c r="BH75" s="7"/>
      <c r="BM75" s="7"/>
      <c r="BR75" s="7"/>
      <c r="BU75" s="7"/>
    </row>
    <row r="76" spans="1:119" x14ac:dyDescent="0.15">
      <c r="B76" s="7"/>
      <c r="BD76" s="7"/>
      <c r="BE76" s="7"/>
      <c r="BH76" s="7"/>
      <c r="BM76" s="7"/>
      <c r="BR76" s="7"/>
      <c r="BU76" s="7"/>
    </row>
    <row r="77" spans="1:119" x14ac:dyDescent="0.15">
      <c r="B77" s="7"/>
      <c r="BD77" s="7"/>
      <c r="BE77" s="7"/>
      <c r="BH77" s="7"/>
      <c r="BM77" s="7"/>
      <c r="BR77" s="7"/>
      <c r="BU77" s="7"/>
    </row>
    <row r="78" spans="1:119" s="2" customFormat="1" x14ac:dyDescent="0.15">
      <c r="A78"/>
      <c r="B78" s="7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 s="7"/>
      <c r="BE78" s="7"/>
      <c r="BF78"/>
      <c r="BG78"/>
      <c r="BH78" s="7"/>
      <c r="BI78"/>
      <c r="BJ78"/>
      <c r="BK78"/>
      <c r="BL78"/>
      <c r="BM78" s="7"/>
      <c r="BN78"/>
      <c r="BO78"/>
      <c r="BP78"/>
      <c r="BQ78"/>
      <c r="BR78" s="7"/>
      <c r="BS78"/>
      <c r="BT78"/>
      <c r="BU78" s="7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O78" s="4"/>
    </row>
    <row r="79" spans="1:119" s="2" customFormat="1" x14ac:dyDescent="0.15">
      <c r="A79"/>
      <c r="B79" s="7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 s="7"/>
      <c r="BE79" s="7"/>
      <c r="BF79"/>
      <c r="BG79"/>
      <c r="BH79" s="7"/>
      <c r="BI79"/>
      <c r="BJ79"/>
      <c r="BK79"/>
      <c r="BL79"/>
      <c r="BM79" s="7"/>
      <c r="BN79"/>
      <c r="BO79"/>
      <c r="BP79"/>
      <c r="BQ79"/>
      <c r="BR79" s="7"/>
      <c r="BS79"/>
      <c r="BT79"/>
      <c r="BU79" s="7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 s="7"/>
      <c r="CJ79" s="7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O79" s="4"/>
    </row>
    <row r="80" spans="1:119" x14ac:dyDescent="0.15">
      <c r="B80" s="7"/>
      <c r="BD80" s="7"/>
      <c r="BE80" s="7"/>
      <c r="BH80" s="7"/>
      <c r="BM80" s="7"/>
      <c r="BR80" s="7"/>
      <c r="BU80" s="7"/>
      <c r="CI80" s="7"/>
      <c r="CJ80" s="7"/>
      <c r="CZ80" s="7"/>
    </row>
    <row r="81" spans="1:119" x14ac:dyDescent="0.15">
      <c r="B81" s="7"/>
      <c r="BD81" s="7"/>
      <c r="BE81" s="7"/>
      <c r="BH81" s="7"/>
      <c r="BM81" s="7"/>
      <c r="BR81" s="7"/>
      <c r="BU81" s="7"/>
    </row>
    <row r="82" spans="1:119" x14ac:dyDescent="0.15">
      <c r="B82" s="7"/>
      <c r="BD82" s="7"/>
      <c r="BE82" s="7"/>
      <c r="BH82" s="7"/>
      <c r="BM82" s="7"/>
      <c r="BR82" s="7"/>
      <c r="BU82" s="7"/>
      <c r="CG82" s="7"/>
    </row>
    <row r="83" spans="1:119" x14ac:dyDescent="0.15">
      <c r="B83" s="7"/>
      <c r="BD83" s="7"/>
      <c r="BE83" s="7"/>
      <c r="BH83" s="7"/>
      <c r="BM83" s="7"/>
      <c r="BR83" s="7"/>
      <c r="BU83" s="7"/>
    </row>
    <row r="84" spans="1:119" x14ac:dyDescent="0.15">
      <c r="B84" s="7"/>
      <c r="BD84" s="7"/>
      <c r="BE84" s="7"/>
      <c r="BM84" s="7"/>
      <c r="BR84" s="7"/>
      <c r="BU84" s="7"/>
      <c r="CG84" s="7"/>
    </row>
    <row r="85" spans="1:119" x14ac:dyDescent="0.15">
      <c r="B85" s="7"/>
      <c r="BD85" s="7"/>
      <c r="BE85" s="7"/>
      <c r="BH85" s="7"/>
      <c r="BM85" s="7"/>
      <c r="BR85" s="7"/>
      <c r="BU85" s="7"/>
      <c r="CZ85" s="7"/>
    </row>
    <row r="86" spans="1:119" x14ac:dyDescent="0.15">
      <c r="B86" s="7"/>
      <c r="BD86" s="7"/>
      <c r="BE86" s="7"/>
      <c r="BH86" s="7"/>
      <c r="BM86" s="7"/>
      <c r="BR86" s="7"/>
      <c r="BU86" s="7"/>
      <c r="CG86" s="7"/>
    </row>
    <row r="87" spans="1:119" x14ac:dyDescent="0.15">
      <c r="B87" s="7"/>
      <c r="BD87" s="7"/>
      <c r="BE87" s="7"/>
      <c r="BH87" s="7"/>
      <c r="BM87" s="7"/>
      <c r="BR87" s="7"/>
      <c r="BU87" s="7"/>
    </row>
    <row r="88" spans="1:119" x14ac:dyDescent="0.15">
      <c r="B88" s="7"/>
      <c r="BD88" s="7"/>
      <c r="BE88" s="7"/>
      <c r="BH88" s="7"/>
      <c r="BM88" s="7"/>
      <c r="BR88" s="7"/>
      <c r="BU88" s="7"/>
    </row>
    <row r="89" spans="1:119" x14ac:dyDescent="0.15">
      <c r="B89" s="7"/>
      <c r="BD89" s="7"/>
      <c r="BE89" s="7"/>
      <c r="BH89" s="7"/>
      <c r="BM89" s="7"/>
      <c r="BR89" s="7"/>
      <c r="BU89" s="7"/>
      <c r="CG89" s="7"/>
      <c r="CI89" s="7"/>
      <c r="CJ89" s="7"/>
      <c r="CZ89" s="7"/>
    </row>
    <row r="90" spans="1:119" s="1" customFormat="1" x14ac:dyDescent="0.15">
      <c r="A90"/>
      <c r="B90" s="7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 s="7"/>
      <c r="BE90" s="7"/>
      <c r="BF90"/>
      <c r="BG90"/>
      <c r="BH90" s="7"/>
      <c r="BI90"/>
      <c r="BJ90"/>
      <c r="BK90"/>
      <c r="BL90"/>
      <c r="BM90" s="7"/>
      <c r="BN90"/>
      <c r="BO90"/>
      <c r="BP90"/>
      <c r="BQ90"/>
      <c r="BR90" s="7"/>
      <c r="BS90"/>
      <c r="BT90"/>
      <c r="BU90" s="7"/>
      <c r="BV90"/>
      <c r="BW90"/>
      <c r="BX90"/>
      <c r="BY90"/>
      <c r="BZ90"/>
      <c r="CA90"/>
      <c r="CB90"/>
      <c r="CC90"/>
      <c r="CD90"/>
      <c r="CE90"/>
      <c r="CF90"/>
      <c r="CG90" s="7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N90" s="2"/>
      <c r="DO90" s="4"/>
    </row>
    <row r="91" spans="1:119" s="1" customFormat="1" x14ac:dyDescent="0.15">
      <c r="A91"/>
      <c r="B91" s="7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 s="7"/>
      <c r="BE91" s="7"/>
      <c r="BF91"/>
      <c r="BG91"/>
      <c r="BH91" s="7"/>
      <c r="BI91"/>
      <c r="BJ91"/>
      <c r="BK91"/>
      <c r="BL91"/>
      <c r="BM91" s="7"/>
      <c r="BN91"/>
      <c r="BO91"/>
      <c r="BP91"/>
      <c r="BQ91"/>
      <c r="BR91" s="7"/>
      <c r="BS91"/>
      <c r="BT91"/>
      <c r="BU91" s="7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N91" s="2"/>
      <c r="DO91" s="4"/>
    </row>
    <row r="92" spans="1:119" s="2" customFormat="1" x14ac:dyDescent="0.15">
      <c r="A92"/>
      <c r="B92" s="7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 s="7"/>
      <c r="BE92" s="7"/>
      <c r="BF92"/>
      <c r="BG92"/>
      <c r="BH92"/>
      <c r="BI92"/>
      <c r="BJ92"/>
      <c r="BK92"/>
      <c r="BL92"/>
      <c r="BM92" s="7"/>
      <c r="BN92"/>
      <c r="BO92"/>
      <c r="BP92"/>
      <c r="BQ92"/>
      <c r="BR92" s="7"/>
      <c r="BS92"/>
      <c r="BT92"/>
      <c r="BU92" s="7"/>
      <c r="BV92"/>
      <c r="BW92"/>
      <c r="BX92"/>
      <c r="BY92"/>
      <c r="BZ92"/>
      <c r="CA92"/>
      <c r="CB92"/>
      <c r="CC92"/>
      <c r="CD92"/>
      <c r="CE92"/>
      <c r="CF92"/>
      <c r="CG92" s="7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O92" s="4"/>
    </row>
    <row r="93" spans="1:119" x14ac:dyDescent="0.15">
      <c r="B93" s="7"/>
      <c r="BD93" s="7"/>
      <c r="BE93" s="7"/>
      <c r="BH93" s="7"/>
      <c r="BM93" s="7"/>
      <c r="BR93" s="7"/>
      <c r="BU93" s="7"/>
      <c r="CG93" s="7"/>
    </row>
    <row r="94" spans="1:119" s="2" customFormat="1" x14ac:dyDescent="0.15">
      <c r="A94"/>
      <c r="B94" s="7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 s="7"/>
      <c r="BE94" s="7"/>
      <c r="BF94"/>
      <c r="BG94"/>
      <c r="BH94" s="7"/>
      <c r="BI94"/>
      <c r="BJ94"/>
      <c r="BK94"/>
      <c r="BL94"/>
      <c r="BM94" s="7"/>
      <c r="BN94"/>
      <c r="BO94"/>
      <c r="BP94"/>
      <c r="BQ94"/>
      <c r="BR94" s="7"/>
      <c r="BS94"/>
      <c r="BT94"/>
      <c r="BU94" s="7"/>
      <c r="BV94"/>
      <c r="BW94"/>
      <c r="BX94"/>
      <c r="BY94"/>
      <c r="BZ94"/>
      <c r="CA94"/>
      <c r="CB94"/>
      <c r="CC94"/>
      <c r="CD94"/>
      <c r="CE94"/>
      <c r="CF94"/>
      <c r="CG94" s="7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 s="7"/>
      <c r="DA94"/>
      <c r="DB94"/>
      <c r="DC94"/>
      <c r="DD94"/>
      <c r="DE94"/>
      <c r="DF94"/>
      <c r="DG94"/>
      <c r="DH94"/>
      <c r="DI94"/>
      <c r="DJ94"/>
      <c r="DK94"/>
      <c r="DL94"/>
      <c r="DO94" s="4"/>
    </row>
    <row r="95" spans="1:119" x14ac:dyDescent="0.15">
      <c r="B95" s="7"/>
      <c r="BD95" s="7"/>
      <c r="BE95" s="7"/>
      <c r="BH95" s="7"/>
      <c r="BM95" s="7"/>
      <c r="BR95" s="7"/>
      <c r="BU95" s="7"/>
    </row>
    <row r="96" spans="1:119" x14ac:dyDescent="0.15">
      <c r="B96" s="7"/>
      <c r="BD96" s="7"/>
      <c r="BE96" s="7"/>
      <c r="BH96" s="7"/>
      <c r="BM96" s="7"/>
      <c r="BR96" s="7"/>
      <c r="BU96" s="7"/>
      <c r="CG96" s="7"/>
    </row>
    <row r="97" spans="2:104" x14ac:dyDescent="0.15">
      <c r="B97" s="7"/>
      <c r="BD97" s="7"/>
      <c r="BE97" s="7"/>
      <c r="BH97" s="7"/>
      <c r="BM97" s="7"/>
      <c r="BR97" s="7"/>
      <c r="BU97" s="7"/>
      <c r="CG97" s="7"/>
    </row>
    <row r="98" spans="2:104" x14ac:dyDescent="0.15">
      <c r="B98" s="7"/>
      <c r="BD98" s="7"/>
      <c r="BE98" s="7"/>
      <c r="BH98" s="7"/>
      <c r="BM98" s="7"/>
      <c r="BR98" s="7"/>
      <c r="BU98" s="7"/>
      <c r="CG98" s="7"/>
    </row>
    <row r="99" spans="2:104" x14ac:dyDescent="0.15">
      <c r="B99" s="7"/>
      <c r="BD99" s="7"/>
      <c r="BE99" s="7"/>
      <c r="BH99" s="7"/>
      <c r="BM99" s="7"/>
      <c r="BR99" s="7"/>
      <c r="BU99" s="7"/>
      <c r="CZ99" s="7"/>
    </row>
    <row r="100" spans="2:104" x14ac:dyDescent="0.15">
      <c r="B100" s="7"/>
      <c r="BD100" s="7"/>
      <c r="BE100" s="7"/>
      <c r="BH100" s="7"/>
      <c r="BM100" s="7"/>
      <c r="BR100" s="7"/>
      <c r="BU100" s="7"/>
      <c r="CG100" s="7"/>
      <c r="CI100" s="7"/>
      <c r="CJ100" s="7"/>
      <c r="CZ100" s="7"/>
    </row>
    <row r="101" spans="2:104" x14ac:dyDescent="0.15">
      <c r="B101" s="7"/>
      <c r="BD101" s="7"/>
      <c r="BE101" s="7"/>
      <c r="BH101" s="7"/>
      <c r="BM101" s="7"/>
      <c r="BR101" s="7"/>
      <c r="BU101" s="7"/>
    </row>
    <row r="102" spans="2:104" x14ac:dyDescent="0.15">
      <c r="B102" s="7"/>
      <c r="BD102" s="7"/>
      <c r="BE102" s="7"/>
      <c r="BH102" s="7"/>
      <c r="BM102" s="7"/>
      <c r="BR102" s="7"/>
      <c r="BU102" s="7"/>
      <c r="CG102" s="7"/>
    </row>
    <row r="103" spans="2:104" x14ac:dyDescent="0.15">
      <c r="B103" s="7"/>
      <c r="BD103" s="7"/>
      <c r="BE103" s="7"/>
      <c r="BH103" s="7"/>
      <c r="BM103" s="7"/>
      <c r="BR103" s="7"/>
      <c r="BU103" s="7"/>
      <c r="CG103" s="7"/>
    </row>
    <row r="104" spans="2:104" x14ac:dyDescent="0.15">
      <c r="B104" s="7"/>
      <c r="BD104" s="7"/>
      <c r="BE104" s="7"/>
      <c r="BH104" s="7"/>
      <c r="BM104" s="7"/>
      <c r="BR104" s="7"/>
      <c r="BU104" s="7"/>
    </row>
    <row r="105" spans="2:104" x14ac:dyDescent="0.15">
      <c r="B105" s="7"/>
      <c r="BD105" s="7"/>
      <c r="BE105" s="7"/>
      <c r="BH105" s="7"/>
      <c r="BM105" s="7"/>
      <c r="BR105" s="7"/>
      <c r="BU105" s="7"/>
    </row>
    <row r="106" spans="2:104" x14ac:dyDescent="0.15">
      <c r="B106" s="7"/>
      <c r="BD106" s="7"/>
      <c r="BE106" s="7"/>
      <c r="BH106" s="7"/>
      <c r="BM106" s="7"/>
      <c r="BR106" s="7"/>
      <c r="BU106" s="7"/>
      <c r="CG106" s="7"/>
    </row>
    <row r="107" spans="2:104" x14ac:dyDescent="0.15">
      <c r="B107" s="7"/>
      <c r="BD107" s="7"/>
      <c r="BE107" s="7"/>
      <c r="BH107" s="7"/>
      <c r="BM107" s="7"/>
      <c r="BR107" s="7"/>
      <c r="BU107" s="7"/>
    </row>
    <row r="108" spans="2:104" x14ac:dyDescent="0.15">
      <c r="B108" s="7"/>
      <c r="BD108" s="7"/>
      <c r="BE108" s="7"/>
      <c r="BH108" s="7"/>
      <c r="BM108" s="7"/>
      <c r="BR108" s="7"/>
      <c r="BU108" s="7"/>
      <c r="CG108" s="7"/>
    </row>
    <row r="109" spans="2:104" x14ac:dyDescent="0.15">
      <c r="B109" s="7"/>
      <c r="BD109" s="7"/>
      <c r="BE109" s="7"/>
      <c r="BH109" s="7"/>
      <c r="BM109" s="7"/>
      <c r="BR109" s="7"/>
      <c r="BU109" s="7"/>
      <c r="CG109" s="7"/>
    </row>
    <row r="110" spans="2:104" x14ac:dyDescent="0.15">
      <c r="B110" s="7"/>
      <c r="BD110" s="7"/>
      <c r="BE110" s="7"/>
      <c r="BH110" s="7"/>
      <c r="BM110" s="7"/>
      <c r="BR110" s="7"/>
      <c r="BU110" s="7"/>
      <c r="CG110" s="7"/>
    </row>
    <row r="111" spans="2:104" x14ac:dyDescent="0.15">
      <c r="B111" s="7"/>
      <c r="BD111" s="7"/>
      <c r="BE111" s="7"/>
      <c r="BH111" s="7"/>
      <c r="BM111" s="7"/>
      <c r="BR111" s="7"/>
      <c r="BU111" s="7"/>
    </row>
    <row r="112" spans="2:104" x14ac:dyDescent="0.15">
      <c r="B112" s="7"/>
      <c r="BD112" s="7"/>
      <c r="BE112" s="7"/>
      <c r="BH112" s="7"/>
      <c r="BM112" s="7"/>
      <c r="BR112" s="7"/>
      <c r="BU112" s="7"/>
      <c r="CG112" s="7"/>
    </row>
    <row r="113" spans="2:104" x14ac:dyDescent="0.15">
      <c r="B113" s="7"/>
      <c r="BD113" s="7"/>
      <c r="BE113" s="7"/>
      <c r="BH113" s="7"/>
      <c r="BM113" s="7"/>
      <c r="BR113" s="7"/>
      <c r="BU113" s="7"/>
      <c r="CZ113" s="7"/>
    </row>
    <row r="114" spans="2:104" x14ac:dyDescent="0.15">
      <c r="B114" s="7"/>
      <c r="BD114" s="7"/>
      <c r="BE114" s="7"/>
      <c r="BH114" s="7"/>
      <c r="BM114" s="7"/>
      <c r="BR114" s="7"/>
      <c r="BU114" s="7"/>
    </row>
    <row r="115" spans="2:104" x14ac:dyDescent="0.15">
      <c r="B115" s="7"/>
      <c r="BD115" s="7"/>
      <c r="BE115" s="7"/>
      <c r="BH115" s="7"/>
      <c r="BM115" s="7"/>
      <c r="BR115" s="7"/>
      <c r="BU115" s="7"/>
      <c r="CG115" s="7"/>
    </row>
    <row r="116" spans="2:104" x14ac:dyDescent="0.15">
      <c r="B116" s="7"/>
      <c r="BD116" s="7"/>
      <c r="BE116" s="7"/>
      <c r="BH116" s="7"/>
      <c r="BM116" s="7"/>
      <c r="BR116" s="7"/>
      <c r="BU116" s="7"/>
    </row>
    <row r="117" spans="2:104" x14ac:dyDescent="0.15">
      <c r="B117" s="7"/>
      <c r="BD117" s="7"/>
      <c r="BE117" s="7"/>
      <c r="BH117" s="7"/>
      <c r="BM117" s="7"/>
      <c r="BR117" s="7"/>
      <c r="BU117" s="7"/>
    </row>
    <row r="118" spans="2:104" x14ac:dyDescent="0.15">
      <c r="B118" s="7"/>
      <c r="BD118" s="7"/>
      <c r="BE118" s="7"/>
      <c r="BH118" s="7"/>
      <c r="BM118" s="7"/>
      <c r="BR118" s="7"/>
      <c r="BU118" s="7"/>
    </row>
    <row r="119" spans="2:104" x14ac:dyDescent="0.15">
      <c r="B119" s="7"/>
      <c r="BD119" s="7"/>
      <c r="BE119" s="7"/>
      <c r="BH119" s="7"/>
      <c r="BM119" s="7"/>
      <c r="BR119" s="7"/>
      <c r="BU119" s="7"/>
      <c r="CG119" s="7"/>
    </row>
    <row r="120" spans="2:104" x14ac:dyDescent="0.15">
      <c r="B120" s="7"/>
      <c r="BD120" s="7"/>
      <c r="BE120" s="7"/>
      <c r="BH120" s="7"/>
      <c r="BM120" s="7"/>
      <c r="BR120" s="7"/>
      <c r="BU120" s="7"/>
    </row>
    <row r="121" spans="2:104" x14ac:dyDescent="0.15">
      <c r="B121" s="7"/>
      <c r="BD121" s="7"/>
      <c r="BE121" s="7"/>
      <c r="BH121" s="7"/>
      <c r="BM121" s="7"/>
      <c r="BR121" s="7"/>
      <c r="BU121" s="7"/>
      <c r="CI121" s="7"/>
      <c r="CJ121" s="7"/>
    </row>
    <row r="122" spans="2:104" x14ac:dyDescent="0.15">
      <c r="B122" s="7"/>
      <c r="BD122" s="7"/>
      <c r="BE122" s="7"/>
      <c r="BH122" s="7"/>
      <c r="BM122" s="7"/>
      <c r="BR122" s="7"/>
      <c r="BU122" s="7"/>
      <c r="CG122" s="7"/>
      <c r="CZ122" s="7"/>
    </row>
    <row r="123" spans="2:104" x14ac:dyDescent="0.15">
      <c r="B123" s="7"/>
      <c r="BD123" s="7"/>
      <c r="BE123" s="7"/>
      <c r="BH123" s="7"/>
      <c r="BM123" s="7"/>
      <c r="BR123" s="7"/>
      <c r="BU123" s="7"/>
    </row>
    <row r="124" spans="2:104" x14ac:dyDescent="0.15">
      <c r="B124" s="7"/>
      <c r="BD124" s="7"/>
      <c r="BE124" s="7"/>
      <c r="BH124" s="7"/>
      <c r="BM124" s="7"/>
      <c r="BR124" s="7"/>
      <c r="BU124" s="7"/>
      <c r="CG124" s="7"/>
    </row>
    <row r="125" spans="2:104" x14ac:dyDescent="0.15">
      <c r="B125" s="7"/>
      <c r="BD125" s="7"/>
      <c r="BE125" s="7"/>
      <c r="BH125" s="7"/>
      <c r="BM125" s="7"/>
      <c r="BR125" s="7"/>
      <c r="BU125" s="7"/>
      <c r="CG125" s="7"/>
    </row>
    <row r="126" spans="2:104" x14ac:dyDescent="0.15">
      <c r="B126" s="7"/>
      <c r="BD126" s="7"/>
      <c r="BE126" s="7"/>
      <c r="BH126" s="7"/>
      <c r="BM126" s="7"/>
      <c r="BR126" s="7"/>
      <c r="BU126" s="7"/>
    </row>
    <row r="127" spans="2:104" x14ac:dyDescent="0.15">
      <c r="B127" s="7"/>
      <c r="BD127" s="7"/>
      <c r="BE127" s="7"/>
      <c r="BH127" s="7"/>
      <c r="BM127" s="7"/>
      <c r="BR127" s="7"/>
      <c r="BU127" s="7"/>
      <c r="CG127" s="7"/>
    </row>
    <row r="128" spans="2:104" x14ac:dyDescent="0.15">
      <c r="B128" s="7"/>
      <c r="BD128" s="7"/>
      <c r="BE128" s="7"/>
      <c r="BH128" s="7"/>
      <c r="BM128" s="7"/>
      <c r="BR128" s="7"/>
      <c r="BU128" s="7"/>
    </row>
    <row r="129" spans="2:104" x14ac:dyDescent="0.15">
      <c r="B129" s="7"/>
      <c r="BD129" s="7"/>
      <c r="BE129" s="7"/>
      <c r="BH129" s="7"/>
      <c r="BM129" s="7"/>
      <c r="BR129" s="7"/>
      <c r="BU129" s="7"/>
      <c r="CG129" s="7"/>
      <c r="CZ129" s="7"/>
    </row>
    <row r="130" spans="2:104" x14ac:dyDescent="0.15">
      <c r="B130" s="7"/>
      <c r="BD130" s="7"/>
      <c r="BE130" s="7"/>
      <c r="BH130" s="7"/>
      <c r="BM130" s="7"/>
      <c r="BR130" s="7"/>
      <c r="BU130" s="7"/>
      <c r="CI130" s="7"/>
      <c r="CJ130" s="7"/>
    </row>
    <row r="131" spans="2:104" x14ac:dyDescent="0.15">
      <c r="B131" s="7"/>
      <c r="BD131" s="7"/>
      <c r="BE131" s="7"/>
      <c r="BH131" s="7"/>
      <c r="BM131" s="7"/>
      <c r="BR131" s="7"/>
      <c r="BU131" s="7"/>
    </row>
    <row r="132" spans="2:104" x14ac:dyDescent="0.15">
      <c r="B132" s="7"/>
      <c r="BD132" s="7"/>
      <c r="BE132" s="7"/>
      <c r="BH132" s="7"/>
      <c r="BM132" s="7"/>
      <c r="BR132" s="7"/>
      <c r="BU132" s="7"/>
    </row>
    <row r="133" spans="2:104" x14ac:dyDescent="0.15">
      <c r="B133" s="7"/>
      <c r="BD133" s="7"/>
      <c r="BE133" s="7"/>
      <c r="BH133" s="7"/>
      <c r="BM133" s="7"/>
      <c r="BR133" s="7"/>
      <c r="BU133" s="7"/>
    </row>
    <row r="134" spans="2:104" x14ac:dyDescent="0.15">
      <c r="B134" s="7"/>
      <c r="BD134" s="7"/>
      <c r="BE134" s="7"/>
      <c r="BH134" s="7"/>
      <c r="BM134" s="7"/>
      <c r="BR134" s="7"/>
      <c r="BU134" s="7"/>
      <c r="CG134" s="7"/>
    </row>
    <row r="135" spans="2:104" x14ac:dyDescent="0.15">
      <c r="B135" s="7"/>
      <c r="BD135" s="7"/>
      <c r="BE135" s="7"/>
      <c r="BH135" s="7"/>
      <c r="BM135" s="7"/>
      <c r="BR135" s="7"/>
      <c r="BU135" s="7"/>
      <c r="CG135" s="7"/>
    </row>
    <row r="136" spans="2:104" x14ac:dyDescent="0.15">
      <c r="B136" s="7"/>
      <c r="BD136" s="7"/>
      <c r="BE136" s="7"/>
      <c r="BH136" s="7"/>
      <c r="BM136" s="7"/>
      <c r="BR136" s="7"/>
      <c r="BU136" s="7"/>
    </row>
    <row r="137" spans="2:104" x14ac:dyDescent="0.15">
      <c r="B137" s="7"/>
      <c r="BD137" s="7"/>
      <c r="BE137" s="7"/>
      <c r="BH137" s="7"/>
      <c r="BM137" s="7"/>
      <c r="BR137" s="7"/>
      <c r="BU137" s="7"/>
    </row>
    <row r="138" spans="2:104" x14ac:dyDescent="0.15">
      <c r="B138" s="7"/>
      <c r="BD138" s="7"/>
      <c r="BE138" s="7"/>
      <c r="BM138" s="7"/>
      <c r="BR138" s="7"/>
      <c r="BU138" s="7"/>
    </row>
    <row r="139" spans="2:104" x14ac:dyDescent="0.15">
      <c r="B139" s="7"/>
      <c r="BD139" s="7"/>
      <c r="BE139" s="7"/>
      <c r="BM139" s="7"/>
      <c r="BR139" s="7"/>
      <c r="BU139" s="7"/>
      <c r="CE139" s="7"/>
      <c r="CU139" s="7"/>
    </row>
    <row r="140" spans="2:104" x14ac:dyDescent="0.15">
      <c r="B140" s="7"/>
      <c r="BD140" s="7"/>
      <c r="BE140" s="7"/>
      <c r="BM140" s="7"/>
      <c r="BR140" s="7"/>
      <c r="BU140" s="7"/>
    </row>
    <row r="141" spans="2:104" x14ac:dyDescent="0.15">
      <c r="B141" s="7"/>
      <c r="BD141" s="7"/>
      <c r="BE141" s="7"/>
      <c r="BH141" s="7"/>
      <c r="BM141" s="7"/>
      <c r="BR141" s="7"/>
      <c r="BU141" s="7"/>
      <c r="CE141" s="7"/>
    </row>
    <row r="142" spans="2:104" x14ac:dyDescent="0.15">
      <c r="B142" s="7"/>
      <c r="BD142" s="7"/>
      <c r="BE142" s="7"/>
      <c r="BM142" s="7"/>
      <c r="BR142" s="7"/>
      <c r="BU142" s="7"/>
      <c r="CE142" s="7"/>
    </row>
    <row r="143" spans="2:104" x14ac:dyDescent="0.15">
      <c r="B143" s="7"/>
      <c r="BD143" s="7"/>
      <c r="BE143" s="7"/>
      <c r="BH143" s="7"/>
      <c r="BM143" s="7"/>
      <c r="BR143" s="7"/>
      <c r="BU143" s="7"/>
      <c r="CE143" s="7"/>
    </row>
    <row r="144" spans="2:104" x14ac:dyDescent="0.15">
      <c r="B144" s="7"/>
      <c r="BD144" s="7"/>
      <c r="BE144" s="7"/>
      <c r="BM144" s="7"/>
      <c r="BR144" s="7"/>
      <c r="BU144" s="7"/>
      <c r="CE144" s="7"/>
    </row>
    <row r="145" spans="2:99" x14ac:dyDescent="0.15">
      <c r="B145" s="7"/>
      <c r="BD145" s="7"/>
      <c r="BE145" s="7"/>
      <c r="BH145" s="7"/>
      <c r="BM145" s="7"/>
      <c r="BR145" s="7"/>
      <c r="BU145" s="7"/>
      <c r="CE145" s="7"/>
    </row>
    <row r="146" spans="2:99" x14ac:dyDescent="0.15">
      <c r="B146" s="7"/>
      <c r="BD146" s="7"/>
      <c r="BE146" s="7"/>
      <c r="BH146" s="7"/>
      <c r="BM146" s="7"/>
      <c r="BR146" s="7"/>
      <c r="BU146" s="7"/>
      <c r="CE146" s="7"/>
    </row>
    <row r="147" spans="2:99" x14ac:dyDescent="0.15">
      <c r="B147" s="7"/>
      <c r="BD147" s="7"/>
      <c r="BE147" s="7"/>
      <c r="BM147" s="7"/>
      <c r="BR147" s="7"/>
      <c r="BU147" s="7"/>
      <c r="CU147" s="7"/>
    </row>
    <row r="148" spans="2:99" x14ac:dyDescent="0.15">
      <c r="B148" s="7"/>
      <c r="BD148" s="7"/>
      <c r="BE148" s="7"/>
      <c r="BH148" s="7"/>
      <c r="BM148" s="7"/>
      <c r="BR148" s="7"/>
      <c r="BU148" s="7"/>
    </row>
    <row r="149" spans="2:99" x14ac:dyDescent="0.15">
      <c r="B149" s="7"/>
      <c r="BD149" s="7"/>
      <c r="BE149" s="7"/>
      <c r="BM149" s="7"/>
      <c r="BR149" s="7"/>
      <c r="BU149" s="7"/>
      <c r="CE149" s="7"/>
      <c r="CU149" s="7"/>
    </row>
    <row r="150" spans="2:99" x14ac:dyDescent="0.15">
      <c r="B150" s="7"/>
      <c r="BD150" s="7"/>
      <c r="BE150" s="7"/>
      <c r="BH150" s="7"/>
      <c r="BM150" s="7"/>
      <c r="BR150" s="7"/>
      <c r="BU150" s="7"/>
      <c r="CU150" s="7"/>
    </row>
    <row r="151" spans="2:99" x14ac:dyDescent="0.15">
      <c r="B151" s="7"/>
      <c r="BD151" s="7"/>
      <c r="BE151" s="7"/>
      <c r="BM151" s="7"/>
      <c r="BR151" s="7"/>
      <c r="BU151" s="7"/>
      <c r="CE151" s="7"/>
    </row>
    <row r="152" spans="2:99" x14ac:dyDescent="0.15">
      <c r="B152" s="7"/>
      <c r="BD152" s="7"/>
      <c r="BE152" s="7"/>
      <c r="BH152" s="7"/>
      <c r="BM152" s="7"/>
      <c r="BR152" s="7"/>
      <c r="BU152" s="7"/>
    </row>
  </sheetData>
  <sortState xmlns:xlrd2="http://schemas.microsoft.com/office/spreadsheetml/2017/richdata2" ref="A1:DH114">
    <sortCondition ref="G1:G114"/>
    <sortCondition ref="H1:H114"/>
    <sortCondition ref="I1:I114"/>
    <sortCondition ref="J1:J114"/>
  </sortState>
  <conditionalFormatting sqref="L31:L56">
    <cfRule type="duplicateValues" dxfId="1" priority="30"/>
  </conditionalFormatting>
  <conditionalFormatting sqref="L2:L30">
    <cfRule type="duplicateValues" dxfId="0" priority="1"/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2"/>
  <sheetViews>
    <sheetView topLeftCell="CU1" workbookViewId="0">
      <selection activeCell="CZ2" sqref="CZ2"/>
    </sheetView>
  </sheetViews>
  <sheetFormatPr baseColWidth="10" defaultRowHeight="13" x14ac:dyDescent="0.15"/>
  <sheetData>
    <row r="1" spans="1:1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114</v>
      </c>
      <c r="P1" t="s">
        <v>115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106</v>
      </c>
      <c r="AF1" t="s">
        <v>116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117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118</v>
      </c>
      <c r="AU1" t="s">
        <v>119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103</v>
      </c>
      <c r="BK1" t="s">
        <v>104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110</v>
      </c>
      <c r="BW1" t="s">
        <v>111</v>
      </c>
      <c r="BX1" t="s">
        <v>64</v>
      </c>
      <c r="BY1" t="s">
        <v>65</v>
      </c>
      <c r="BZ1" t="s">
        <v>66</v>
      </c>
      <c r="CA1" t="s">
        <v>67</v>
      </c>
      <c r="CB1" t="s">
        <v>112</v>
      </c>
      <c r="CC1" t="s">
        <v>113</v>
      </c>
      <c r="CD1" t="s">
        <v>120</v>
      </c>
      <c r="CE1" t="s">
        <v>69</v>
      </c>
      <c r="CF1" t="s">
        <v>68</v>
      </c>
      <c r="CG1" t="s">
        <v>70</v>
      </c>
      <c r="CH1" t="s">
        <v>71</v>
      </c>
      <c r="CI1" t="s">
        <v>72</v>
      </c>
      <c r="CJ1" t="s">
        <v>73</v>
      </c>
      <c r="CK1" t="s">
        <v>74</v>
      </c>
      <c r="CL1" t="s">
        <v>75</v>
      </c>
      <c r="CM1" t="s">
        <v>76</v>
      </c>
      <c r="CN1" t="s">
        <v>77</v>
      </c>
      <c r="CO1" t="s">
        <v>78</v>
      </c>
      <c r="CP1" t="s">
        <v>79</v>
      </c>
      <c r="CQ1" t="s">
        <v>80</v>
      </c>
      <c r="CR1" t="s">
        <v>81</v>
      </c>
      <c r="CS1" t="s">
        <v>121</v>
      </c>
      <c r="CT1" t="s">
        <v>82</v>
      </c>
      <c r="CU1" t="s">
        <v>83</v>
      </c>
      <c r="CV1" t="s">
        <v>84</v>
      </c>
      <c r="CW1" t="s">
        <v>122</v>
      </c>
      <c r="CX1" t="s">
        <v>85</v>
      </c>
      <c r="CY1" t="s">
        <v>86</v>
      </c>
      <c r="CZ1" t="s">
        <v>123</v>
      </c>
      <c r="DA1" t="s">
        <v>87</v>
      </c>
      <c r="DB1" t="s">
        <v>88</v>
      </c>
      <c r="DC1" t="s">
        <v>90</v>
      </c>
      <c r="DD1" t="s">
        <v>89</v>
      </c>
      <c r="DE1" t="s">
        <v>91</v>
      </c>
    </row>
    <row r="2" spans="1:113" x14ac:dyDescent="0.15">
      <c r="A2" t="s">
        <v>0</v>
      </c>
      <c r="B2" s="5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3" t="s">
        <v>12</v>
      </c>
      <c r="N2" s="3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3" t="s">
        <v>26</v>
      </c>
      <c r="AD2" t="s">
        <v>27</v>
      </c>
      <c r="AE2" s="8" t="s">
        <v>106</v>
      </c>
      <c r="AF2" s="8" t="s">
        <v>107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s="8" t="s">
        <v>108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s="8" t="s">
        <v>109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103</v>
      </c>
      <c r="BK2" t="s">
        <v>104</v>
      </c>
      <c r="BL2" t="s">
        <v>54</v>
      </c>
      <c r="BM2" t="s">
        <v>55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63</v>
      </c>
      <c r="BV2" t="s">
        <v>110</v>
      </c>
      <c r="BW2" t="s">
        <v>111</v>
      </c>
      <c r="BX2" t="s">
        <v>64</v>
      </c>
      <c r="BY2" t="s">
        <v>65</v>
      </c>
      <c r="BZ2" t="s">
        <v>66</v>
      </c>
      <c r="CA2" t="s">
        <v>67</v>
      </c>
      <c r="CB2" t="s">
        <v>112</v>
      </c>
      <c r="CC2" t="s">
        <v>113</v>
      </c>
      <c r="CE2" t="s">
        <v>69</v>
      </c>
      <c r="CF2" t="s">
        <v>68</v>
      </c>
      <c r="CG2" t="s">
        <v>70</v>
      </c>
      <c r="CH2" t="s">
        <v>71</v>
      </c>
      <c r="CI2" t="s">
        <v>72</v>
      </c>
      <c r="CJ2" t="s">
        <v>73</v>
      </c>
      <c r="CK2" t="s">
        <v>74</v>
      </c>
      <c r="CL2" t="s">
        <v>75</v>
      </c>
      <c r="CM2" t="s">
        <v>76</v>
      </c>
      <c r="CN2" t="s">
        <v>77</v>
      </c>
      <c r="CO2" t="s">
        <v>78</v>
      </c>
      <c r="CP2" t="s">
        <v>79</v>
      </c>
      <c r="CQ2" t="s">
        <v>80</v>
      </c>
      <c r="CR2" t="s">
        <v>81</v>
      </c>
      <c r="CT2" s="8" t="s">
        <v>82</v>
      </c>
      <c r="CU2" t="s">
        <v>83</v>
      </c>
      <c r="CV2" t="s">
        <v>84</v>
      </c>
      <c r="CX2" t="s">
        <v>85</v>
      </c>
      <c r="CY2" t="s">
        <v>86</v>
      </c>
      <c r="DA2" t="s">
        <v>87</v>
      </c>
      <c r="DB2" s="9" t="s">
        <v>88</v>
      </c>
      <c r="DC2" t="s">
        <v>90</v>
      </c>
      <c r="DD2" t="s">
        <v>89</v>
      </c>
      <c r="DE2" t="s">
        <v>91</v>
      </c>
      <c r="DH2" s="6" t="s">
        <v>92</v>
      </c>
      <c r="DI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TOSFERINA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Andrés Gómez</cp:lastModifiedBy>
  <dcterms:created xsi:type="dcterms:W3CDTF">2014-10-08T17:18:17Z</dcterms:created>
  <dcterms:modified xsi:type="dcterms:W3CDTF">2025-09-16T13:23:04Z</dcterms:modified>
</cp:coreProperties>
</file>
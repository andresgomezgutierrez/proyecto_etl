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OneDrive\Documentos\GDT 2021\SST-A\SIVIGILA\FED\115-CANCER MENORES DE 18 AÑOS\"/>
    </mc:Choice>
  </mc:AlternateContent>
  <xr:revisionPtr revIDLastSave="0" documentId="13_ncr:1_{09115D17-DF28-4538-AEC1-066F4C4AE81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115" sheetId="2" r:id="rId1"/>
    <sheet name="Hoja1" sheetId="3" r:id="rId2"/>
  </sheets>
  <definedNames>
    <definedName name="_xlnm._FilterDatabase" localSheetId="0" hidden="1">'115'!$A$1:$CT$82</definedName>
  </definedNames>
  <calcPr calcId="191029"/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A3" i="3"/>
  <c r="CX29" i="2"/>
  <c r="CX61" i="2"/>
  <c r="CW3" i="2"/>
  <c r="CX3" i="2" s="1"/>
  <c r="CW4" i="2"/>
  <c r="CX4" i="2" s="1"/>
  <c r="CW5" i="2"/>
  <c r="CX5" i="2" s="1"/>
  <c r="CW6" i="2"/>
  <c r="CX6" i="2" s="1"/>
  <c r="CW7" i="2"/>
  <c r="CX7" i="2" s="1"/>
  <c r="CW8" i="2"/>
  <c r="CX8" i="2" s="1"/>
  <c r="CW9" i="2"/>
  <c r="CX9" i="2" s="1"/>
  <c r="CW10" i="2"/>
  <c r="CX10" i="2" s="1"/>
  <c r="CW11" i="2"/>
  <c r="CX11" i="2" s="1"/>
  <c r="CW12" i="2"/>
  <c r="CX12" i="2" s="1"/>
  <c r="CW13" i="2"/>
  <c r="CX13" i="2" s="1"/>
  <c r="CW14" i="2"/>
  <c r="CX14" i="2" s="1"/>
  <c r="CW15" i="2"/>
  <c r="CX15" i="2" s="1"/>
  <c r="CW16" i="2"/>
  <c r="CX16" i="2" s="1"/>
  <c r="CW17" i="2"/>
  <c r="CX17" i="2" s="1"/>
  <c r="CW18" i="2"/>
  <c r="CX18" i="2" s="1"/>
  <c r="CW19" i="2"/>
  <c r="CX19" i="2" s="1"/>
  <c r="CW20" i="2"/>
  <c r="CX20" i="2" s="1"/>
  <c r="CW21" i="2"/>
  <c r="CX21" i="2" s="1"/>
  <c r="CW22" i="2"/>
  <c r="CX22" i="2" s="1"/>
  <c r="CW23" i="2"/>
  <c r="CX23" i="2" s="1"/>
  <c r="CW24" i="2"/>
  <c r="CX24" i="2" s="1"/>
  <c r="CW25" i="2"/>
  <c r="CX25" i="2" s="1"/>
  <c r="CW26" i="2"/>
  <c r="CX26" i="2" s="1"/>
  <c r="CW27" i="2"/>
  <c r="CX27" i="2" s="1"/>
  <c r="CW28" i="2"/>
  <c r="CX28" i="2" s="1"/>
  <c r="CW29" i="2"/>
  <c r="CW30" i="2"/>
  <c r="CX30" i="2" s="1"/>
  <c r="CW31" i="2"/>
  <c r="CX31" i="2" s="1"/>
  <c r="CW32" i="2"/>
  <c r="CX32" i="2" s="1"/>
  <c r="CW33" i="2"/>
  <c r="CX33" i="2" s="1"/>
  <c r="CW34" i="2"/>
  <c r="CX34" i="2" s="1"/>
  <c r="CW35" i="2"/>
  <c r="CX35" i="2" s="1"/>
  <c r="CW36" i="2"/>
  <c r="CX36" i="2" s="1"/>
  <c r="CW37" i="2"/>
  <c r="CX37" i="2" s="1"/>
  <c r="CW38" i="2"/>
  <c r="CX38" i="2" s="1"/>
  <c r="CW39" i="2"/>
  <c r="CX39" i="2" s="1"/>
  <c r="CW40" i="2"/>
  <c r="CX40" i="2" s="1"/>
  <c r="CW41" i="2"/>
  <c r="CX41" i="2" s="1"/>
  <c r="CW42" i="2"/>
  <c r="CX42" i="2" s="1"/>
  <c r="CW43" i="2"/>
  <c r="CX43" i="2" s="1"/>
  <c r="CW44" i="2"/>
  <c r="CX44" i="2" s="1"/>
  <c r="CW45" i="2"/>
  <c r="CX45" i="2" s="1"/>
  <c r="CW46" i="2"/>
  <c r="CX46" i="2" s="1"/>
  <c r="CW47" i="2"/>
  <c r="CX47" i="2" s="1"/>
  <c r="CW48" i="2"/>
  <c r="CX48" i="2" s="1"/>
  <c r="CW49" i="2"/>
  <c r="CX49" i="2" s="1"/>
  <c r="CW50" i="2"/>
  <c r="CX50" i="2" s="1"/>
  <c r="CW51" i="2"/>
  <c r="CX51" i="2" s="1"/>
  <c r="CW52" i="2"/>
  <c r="CX52" i="2" s="1"/>
  <c r="CW53" i="2"/>
  <c r="CX53" i="2" s="1"/>
  <c r="CW54" i="2"/>
  <c r="CX54" i="2" s="1"/>
  <c r="CW55" i="2"/>
  <c r="CX55" i="2" s="1"/>
  <c r="CW56" i="2"/>
  <c r="CX56" i="2" s="1"/>
  <c r="CW57" i="2"/>
  <c r="CX57" i="2" s="1"/>
  <c r="CW58" i="2"/>
  <c r="CX58" i="2" s="1"/>
  <c r="CW59" i="2"/>
  <c r="CX59" i="2" s="1"/>
  <c r="CW60" i="2"/>
  <c r="CX60" i="2" s="1"/>
  <c r="CW61" i="2"/>
  <c r="CW62" i="2"/>
  <c r="CX62" i="2" s="1"/>
  <c r="CW63" i="2"/>
  <c r="CX63" i="2" s="1"/>
  <c r="CW64" i="2"/>
  <c r="CX64" i="2" s="1"/>
  <c r="CW65" i="2"/>
  <c r="CX65" i="2" s="1"/>
  <c r="CW66" i="2"/>
  <c r="CX66" i="2" s="1"/>
  <c r="CW67" i="2"/>
  <c r="CX67" i="2" s="1"/>
  <c r="CW68" i="2"/>
  <c r="CX68" i="2" s="1"/>
  <c r="CW69" i="2"/>
  <c r="CX69" i="2" s="1"/>
  <c r="CW70" i="2"/>
  <c r="CX70" i="2" s="1"/>
  <c r="CW71" i="2"/>
  <c r="CX71" i="2" s="1"/>
  <c r="CW72" i="2"/>
  <c r="CX72" i="2" s="1"/>
  <c r="CW73" i="2"/>
  <c r="CX73" i="2" s="1"/>
  <c r="CW74" i="2"/>
  <c r="CX74" i="2" s="1"/>
  <c r="CW75" i="2"/>
  <c r="CX75" i="2" s="1"/>
  <c r="CW76" i="2"/>
  <c r="CX76" i="2" s="1"/>
  <c r="CW77" i="2"/>
  <c r="CX77" i="2" s="1"/>
  <c r="CW78" i="2"/>
  <c r="CX78" i="2" s="1"/>
  <c r="CW79" i="2"/>
  <c r="CX79" i="2" s="1"/>
  <c r="CW80" i="2"/>
  <c r="CX80" i="2" s="1"/>
  <c r="CW81" i="2"/>
  <c r="CX81" i="2" s="1"/>
  <c r="CW82" i="2"/>
  <c r="CX82" i="2" s="1"/>
  <c r="CW2" i="2"/>
  <c r="CX2" i="2" s="1"/>
  <c r="CU3" i="2"/>
  <c r="CV3" i="2" s="1"/>
  <c r="CU4" i="2"/>
  <c r="CU5" i="2"/>
  <c r="CV5" i="2" s="1"/>
  <c r="CU6" i="2"/>
  <c r="CV6" i="2" s="1"/>
  <c r="CU7" i="2"/>
  <c r="CV7" i="2" s="1"/>
  <c r="CU8" i="2"/>
  <c r="CV8" i="2" s="1"/>
  <c r="CU9" i="2"/>
  <c r="CV9" i="2" s="1"/>
  <c r="CU10" i="2"/>
  <c r="CU11" i="2"/>
  <c r="CV11" i="2" s="1"/>
  <c r="CU12" i="2"/>
  <c r="CV12" i="2" s="1"/>
  <c r="CU13" i="2"/>
  <c r="CU14" i="2"/>
  <c r="CV14" i="2" s="1"/>
  <c r="CU15" i="2"/>
  <c r="CV15" i="2" s="1"/>
  <c r="CU16" i="2"/>
  <c r="CU17" i="2"/>
  <c r="CV17" i="2" s="1"/>
  <c r="CU18" i="2"/>
  <c r="CV18" i="2" s="1"/>
  <c r="CU19" i="2"/>
  <c r="CV19" i="2" s="1"/>
  <c r="CU20" i="2"/>
  <c r="CV20" i="2" s="1"/>
  <c r="CU21" i="2"/>
  <c r="CV21" i="2" s="1"/>
  <c r="CU22" i="2"/>
  <c r="CV22" i="2" s="1"/>
  <c r="CU23" i="2"/>
  <c r="CV23" i="2" s="1"/>
  <c r="CU24" i="2"/>
  <c r="CU25" i="2"/>
  <c r="CV25" i="2" s="1"/>
  <c r="CU26" i="2"/>
  <c r="CU27" i="2"/>
  <c r="CV27" i="2" s="1"/>
  <c r="CU28" i="2"/>
  <c r="CV28" i="2" s="1"/>
  <c r="CU29" i="2"/>
  <c r="CV29" i="2" s="1"/>
  <c r="CU30" i="2"/>
  <c r="CV30" i="2" s="1"/>
  <c r="CU31" i="2"/>
  <c r="CV31" i="2" s="1"/>
  <c r="CU32" i="2"/>
  <c r="CV32" i="2" s="1"/>
  <c r="CU33" i="2"/>
  <c r="CV33" i="2" s="1"/>
  <c r="CU34" i="2"/>
  <c r="CV34" i="2" s="1"/>
  <c r="CU35" i="2"/>
  <c r="CV35" i="2" s="1"/>
  <c r="CU36" i="2"/>
  <c r="CV36" i="2" s="1"/>
  <c r="CU37" i="2"/>
  <c r="CV37" i="2" s="1"/>
  <c r="CU38" i="2"/>
  <c r="CV38" i="2" s="1"/>
  <c r="CU39" i="2"/>
  <c r="CV39" i="2" s="1"/>
  <c r="CU40" i="2"/>
  <c r="CU41" i="2"/>
  <c r="CU42" i="2"/>
  <c r="CU43" i="2"/>
  <c r="CV43" i="2" s="1"/>
  <c r="CU44" i="2"/>
  <c r="CU45" i="2"/>
  <c r="CV45" i="2" s="1"/>
  <c r="CU46" i="2"/>
  <c r="CV46" i="2" s="1"/>
  <c r="CU47" i="2"/>
  <c r="CV47" i="2" s="1"/>
  <c r="CU48" i="2"/>
  <c r="CV48" i="2" s="1"/>
  <c r="CU49" i="2"/>
  <c r="CV49" i="2" s="1"/>
  <c r="CU50" i="2"/>
  <c r="CV50" i="2" s="1"/>
  <c r="CU51" i="2"/>
  <c r="CV51" i="2" s="1"/>
  <c r="CU52" i="2"/>
  <c r="CU53" i="2"/>
  <c r="CV53" i="2" s="1"/>
  <c r="CU54" i="2"/>
  <c r="CV54" i="2" s="1"/>
  <c r="CU55" i="2"/>
  <c r="CV55" i="2" s="1"/>
  <c r="CU56" i="2"/>
  <c r="CV56" i="2" s="1"/>
  <c r="CU57" i="2"/>
  <c r="CV57" i="2" s="1"/>
  <c r="CU58" i="2"/>
  <c r="CU59" i="2"/>
  <c r="CU60" i="2"/>
  <c r="CU61" i="2"/>
  <c r="CV61" i="2" s="1"/>
  <c r="CU62" i="2"/>
  <c r="CV62" i="2" s="1"/>
  <c r="CU63" i="2"/>
  <c r="CV63" i="2" s="1"/>
  <c r="CU64" i="2"/>
  <c r="CV64" i="2" s="1"/>
  <c r="CU65" i="2"/>
  <c r="CV65" i="2" s="1"/>
  <c r="CU66" i="2"/>
  <c r="CV66" i="2" s="1"/>
  <c r="CU67" i="2"/>
  <c r="CU68" i="2"/>
  <c r="CU69" i="2"/>
  <c r="CV69" i="2" s="1"/>
  <c r="CU70" i="2"/>
  <c r="CV70" i="2" s="1"/>
  <c r="CU71" i="2"/>
  <c r="CV71" i="2" s="1"/>
  <c r="CU72" i="2"/>
  <c r="CV72" i="2" s="1"/>
  <c r="CU73" i="2"/>
  <c r="CV73" i="2" s="1"/>
  <c r="CU74" i="2"/>
  <c r="CU75" i="2"/>
  <c r="CV75" i="2" s="1"/>
  <c r="CU76" i="2"/>
  <c r="CV76" i="2" s="1"/>
  <c r="CU77" i="2"/>
  <c r="CV77" i="2" s="1"/>
  <c r="CU78" i="2"/>
  <c r="CV78" i="2" s="1"/>
  <c r="CU79" i="2"/>
  <c r="CV79" i="2" s="1"/>
  <c r="CU80" i="2"/>
  <c r="CU81" i="2"/>
  <c r="CV81" i="2" s="1"/>
  <c r="CU82" i="2"/>
  <c r="CV82" i="2" s="1"/>
  <c r="CU2" i="2"/>
  <c r="CV2" i="2" s="1"/>
  <c r="CV13" i="2"/>
  <c r="CV41" i="2"/>
  <c r="CV4" i="2"/>
  <c r="CV10" i="2"/>
  <c r="CV16" i="2"/>
  <c r="CV24" i="2"/>
  <c r="CV26" i="2"/>
  <c r="CV40" i="2"/>
  <c r="CV42" i="2"/>
  <c r="CV44" i="2"/>
  <c r="CV52" i="2"/>
  <c r="CV58" i="2"/>
  <c r="CV59" i="2"/>
  <c r="CV60" i="2"/>
  <c r="CV67" i="2"/>
  <c r="CV68" i="2"/>
  <c r="CV74" i="2"/>
  <c r="CV80" i="2"/>
</calcChain>
</file>

<file path=xl/sharedStrings.xml><?xml version="1.0" encoding="utf-8"?>
<sst xmlns="http://schemas.openxmlformats.org/spreadsheetml/2006/main" count="882" uniqueCount="221">
  <si>
    <t>cod_eve</t>
  </si>
  <si>
    <t>fec_not</t>
  </si>
  <si>
    <t>edad_</t>
  </si>
  <si>
    <t>sexo_</t>
  </si>
  <si>
    <t>cod_pais_o</t>
  </si>
  <si>
    <t>cod_dpto_o</t>
  </si>
  <si>
    <t>cod_mun_o</t>
  </si>
  <si>
    <t>area_</t>
  </si>
  <si>
    <t>localidad_</t>
  </si>
  <si>
    <t>vereda_</t>
  </si>
  <si>
    <t>bar_ver_</t>
  </si>
  <si>
    <t>dir_res_</t>
  </si>
  <si>
    <t>ocupacion_</t>
  </si>
  <si>
    <t>gp_discapa</t>
  </si>
  <si>
    <t>gp_desplaz</t>
  </si>
  <si>
    <t>gp_migrant</t>
  </si>
  <si>
    <t>gp_indigen</t>
  </si>
  <si>
    <t>gp_otros</t>
  </si>
  <si>
    <t>cod_dpto_r</t>
  </si>
  <si>
    <t>cod_mun_r</t>
  </si>
  <si>
    <t>pac_hos_</t>
  </si>
  <si>
    <t>fec_hos_</t>
  </si>
  <si>
    <t>fec_def_</t>
  </si>
  <si>
    <t>ajuste_</t>
  </si>
  <si>
    <t>telefono_</t>
  </si>
  <si>
    <t>fecha_nto_</t>
  </si>
  <si>
    <t>fec_arc_xl</t>
  </si>
  <si>
    <t>nom_dil_f_</t>
  </si>
  <si>
    <t>tel_dil_f_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</si>
  <si>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</si>
  <si>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</si>
  <si>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</si>
  <si>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</si>
  <si>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</si>
  <si>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</si>
  <si>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</si>
  <si>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</si>
  <si>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</si>
  <si>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</si>
  <si>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</si>
  <si>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</si>
  <si>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</si>
  <si>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</si>
  <si>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TI</t>
  </si>
  <si>
    <t>F</t>
  </si>
  <si>
    <t/>
  </si>
  <si>
    <t>C</t>
  </si>
  <si>
    <t xml:space="preserve">  -   -</t>
  </si>
  <si>
    <t>HOSPITAL FEDERICO LLERAS ACOSTA ESE SEDE FRANCIA</t>
  </si>
  <si>
    <t>TOLIMA</t>
  </si>
  <si>
    <t>IBAGUE</t>
  </si>
  <si>
    <t>RC</t>
  </si>
  <si>
    <t>S</t>
  </si>
  <si>
    <t>M</t>
  </si>
  <si>
    <t>GUAMO</t>
  </si>
  <si>
    <t>PATRICIA MONTENEGRO</t>
  </si>
  <si>
    <t>JUAN</t>
  </si>
  <si>
    <t>SIN INFORMACION</t>
  </si>
  <si>
    <t>SANCHEZ</t>
  </si>
  <si>
    <t>ESPINAL</t>
  </si>
  <si>
    <t>uni_modif</t>
  </si>
  <si>
    <t>nuni_modif</t>
  </si>
  <si>
    <t>recaida</t>
  </si>
  <si>
    <t>fec_tomadp</t>
  </si>
  <si>
    <t>fec_tomadd</t>
  </si>
  <si>
    <t>fec_res_dd</t>
  </si>
  <si>
    <t>SANTIAGO</t>
  </si>
  <si>
    <t>CÁNCER EN MENORES DE 18 AÑOS</t>
  </si>
  <si>
    <t>COYAIMA</t>
  </si>
  <si>
    <t>PLANADAS</t>
  </si>
  <si>
    <t>RAMIREZ</t>
  </si>
  <si>
    <t>JOSE</t>
  </si>
  <si>
    <t>EPS037</t>
  </si>
  <si>
    <t>9999999 SIN INFORMACION</t>
  </si>
  <si>
    <t>semana</t>
  </si>
  <si>
    <t>año</t>
  </si>
  <si>
    <t>cod_pre</t>
  </si>
  <si>
    <t>cod_sub</t>
  </si>
  <si>
    <t>SOFIA</t>
  </si>
  <si>
    <t>pri_nom_</t>
  </si>
  <si>
    <t>seg_nom_</t>
  </si>
  <si>
    <t>pri_ape_</t>
  </si>
  <si>
    <t>seg_ape_</t>
  </si>
  <si>
    <t>tip_ide_</t>
  </si>
  <si>
    <t>num_ide_</t>
  </si>
  <si>
    <t>uni_med_</t>
  </si>
  <si>
    <t>cen_pobla_</t>
  </si>
  <si>
    <t>tip_ss_</t>
  </si>
  <si>
    <t>cod_ase_</t>
  </si>
  <si>
    <t>per_etn_</t>
  </si>
  <si>
    <t>gp_carcela</t>
  </si>
  <si>
    <t>gp_gestan</t>
  </si>
  <si>
    <t>gp_pobicbf</t>
  </si>
  <si>
    <t>gp_mad_com</t>
  </si>
  <si>
    <t>gp_desmovi</t>
  </si>
  <si>
    <t>gp_psiquia</t>
  </si>
  <si>
    <t>gp_vic_vio</t>
  </si>
  <si>
    <t>fec_con_</t>
  </si>
  <si>
    <t>ini_sin_</t>
  </si>
  <si>
    <t>tip_cas_</t>
  </si>
  <si>
    <t>con_fin_</t>
  </si>
  <si>
    <t>cer_def_</t>
  </si>
  <si>
    <t>cbmte_</t>
  </si>
  <si>
    <t>fec_aju_</t>
  </si>
  <si>
    <t>tipo_ca</t>
  </si>
  <si>
    <t>consx2_neo</t>
  </si>
  <si>
    <t>crit_dx_pr</t>
  </si>
  <si>
    <t>fec_res_dp</t>
  </si>
  <si>
    <t>crit_dx_de</t>
  </si>
  <si>
    <t>EPS002</t>
  </si>
  <si>
    <t>ESS133</t>
  </si>
  <si>
    <t>EPSI06</t>
  </si>
  <si>
    <t>EPSS41</t>
  </si>
  <si>
    <t>MARIQUITA</t>
  </si>
  <si>
    <t>FELIPE</t>
  </si>
  <si>
    <t>NA</t>
  </si>
  <si>
    <t>EPS017</t>
  </si>
  <si>
    <t>CRISTIAN</t>
  </si>
  <si>
    <t>fec_diag1a</t>
  </si>
  <si>
    <t>nom_oncolo</t>
  </si>
  <si>
    <t>tel_oncolo</t>
  </si>
  <si>
    <t>tel_cont_2</t>
  </si>
  <si>
    <t>nom_grupo_</t>
  </si>
  <si>
    <t>fuente</t>
  </si>
  <si>
    <t>fec_initra</t>
  </si>
  <si>
    <t>estrato_datos_complementarios</t>
  </si>
  <si>
    <t>EPSS45</t>
  </si>
  <si>
    <t>LIBANO</t>
  </si>
  <si>
    <t>DANIEL</t>
  </si>
  <si>
    <t>EPS044</t>
  </si>
  <si>
    <t>DAVID</t>
  </si>
  <si>
    <t>CARLOS PARDO</t>
  </si>
  <si>
    <t>nacionali_</t>
  </si>
  <si>
    <t>nombre_nacionalidad</t>
  </si>
  <si>
    <t>estrato_</t>
  </si>
  <si>
    <t>sem_ges_</t>
  </si>
  <si>
    <t>cod_pais_r</t>
  </si>
  <si>
    <t>npais_proce</t>
  </si>
  <si>
    <t>npais_resi</t>
  </si>
  <si>
    <t>Numero</t>
  </si>
  <si>
    <t>COLOMBIA</t>
  </si>
  <si>
    <t>TORRES</t>
  </si>
  <si>
    <t>MORA</t>
  </si>
  <si>
    <t>BAQUERO</t>
  </si>
  <si>
    <t>HENRY</t>
  </si>
  <si>
    <t>RIOBLANCO</t>
  </si>
  <si>
    <t>SAENZ</t>
  </si>
  <si>
    <t>HERRERA</t>
  </si>
  <si>
    <t>VANEGAS</t>
  </si>
  <si>
    <t>HERNANDEZ</t>
  </si>
  <si>
    <t>CIFUENTES</t>
  </si>
  <si>
    <t>EMMANUEL</t>
  </si>
  <si>
    <t>MONTENEGRO AGUILAR LYLLIAM SISSIV[C00FC0]</t>
  </si>
  <si>
    <t>indicador de oportunidad Dx presunto</t>
  </si>
  <si>
    <t>indicador de oportunidad Dx confirmatorio</t>
  </si>
  <si>
    <t xml:space="preserve">Residencia real </t>
  </si>
  <si>
    <t>JULIETH</t>
  </si>
  <si>
    <t>VANESSA</t>
  </si>
  <si>
    <t>SC 2 C 55</t>
  </si>
  <si>
    <t>AYELET RAMIREZ SISSIV[C00FC0]</t>
  </si>
  <si>
    <t>SIVIGILA - 2018 - 18.2.0</t>
  </si>
  <si>
    <t>JR</t>
  </si>
  <si>
    <t>SAAVDRA</t>
  </si>
  <si>
    <t>BOQUERON</t>
  </si>
  <si>
    <t>VDA BOQUERON</t>
  </si>
  <si>
    <t>EPSS37</t>
  </si>
  <si>
    <t>MARLY ORREGO SISSIV[C00]</t>
  </si>
  <si>
    <t>SIVIGILA - 2018 -18.2.0$0$1.0</t>
  </si>
  <si>
    <t>MATHIAS</t>
  </si>
  <si>
    <t>MENESES</t>
  </si>
  <si>
    <t>MARIA PADRON</t>
  </si>
  <si>
    <t>WENDY</t>
  </si>
  <si>
    <t>DAYYANA</t>
  </si>
  <si>
    <t>ESQUIVEL</t>
  </si>
  <si>
    <t>AGUIAR</t>
  </si>
  <si>
    <t>CARRERA 11 CALLE 11 -02 LOS PINOS</t>
  </si>
  <si>
    <t>A419</t>
  </si>
  <si>
    <t>EMILY</t>
  </si>
  <si>
    <t>SAMARA</t>
  </si>
  <si>
    <t>AGUJA</t>
  </si>
  <si>
    <t>TOLE</t>
  </si>
  <si>
    <t>MANZANA 6 CS 7 SIMON BOLIVAR</t>
  </si>
  <si>
    <t>GABRIELA</t>
  </si>
  <si>
    <t>QUIJANO</t>
  </si>
  <si>
    <t>CALLE 49 N 5A-37</t>
  </si>
  <si>
    <t>SOLTERO</t>
  </si>
  <si>
    <t>JULIAN</t>
  </si>
  <si>
    <t>MAURICIO</t>
  </si>
  <si>
    <t>CAUSADO</t>
  </si>
  <si>
    <t>PABLO SEXTO</t>
  </si>
  <si>
    <t>CARRERA 11 01-59 BRR PABLO SEXTO GUAMO</t>
  </si>
  <si>
    <t>LILIAN PATRICIA MONTENEGRO</t>
  </si>
  <si>
    <t>PABLO</t>
  </si>
  <si>
    <t>GIRALDO</t>
  </si>
  <si>
    <t>PALOCABILDO</t>
  </si>
  <si>
    <t>ANACONA</t>
  </si>
  <si>
    <t>OTTAVO</t>
  </si>
  <si>
    <t>CALLE 71 N 2 16 SUR BR EL TUNAL</t>
  </si>
  <si>
    <t>3125401457 312575481</t>
  </si>
  <si>
    <t>LUISA</t>
  </si>
  <si>
    <t>FERANANDA</t>
  </si>
  <si>
    <t>PULIDO</t>
  </si>
  <si>
    <t>GUALTERO</t>
  </si>
  <si>
    <t>VEREDA EL OSO PLANADAS</t>
  </si>
  <si>
    <t>3192070989 -</t>
  </si>
  <si>
    <t>PARTICIA MONTENEGRO</t>
  </si>
  <si>
    <t>KAREN</t>
  </si>
  <si>
    <t>MICHELLE</t>
  </si>
  <si>
    <t>MUÑOZ</t>
  </si>
  <si>
    <t>CARVAJAL</t>
  </si>
  <si>
    <t>CALLE 4 N 1-58</t>
  </si>
  <si>
    <t>IAN</t>
  </si>
  <si>
    <t>SAN GELATO PROTECHO TOPACIO</t>
  </si>
  <si>
    <t>3158186011 316638807</t>
  </si>
  <si>
    <t>OCAMPO</t>
  </si>
  <si>
    <t>MZ 15 CS 5 BRR SANTA NA</t>
  </si>
  <si>
    <t>PATRICIA MONTENEGO</t>
  </si>
  <si>
    <t>ARIEL</t>
  </si>
  <si>
    <t>RONDON</t>
  </si>
  <si>
    <t>MZ A CS 11</t>
  </si>
  <si>
    <t>CATALINA VILLALOBOS SISSIV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</si>
</sst>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7030A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2" fillId="0" borderId="1" xfId="0" applyFont="1" applyFill="1" applyBorder="1" applyAlignment="1">
      <alignment wrapText="1"/>
    </xf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/>
    <xf numFmtId="0" fontId="0" fillId="3" borderId="0" xfId="0" applyFill="1"/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4" borderId="0" xfId="0" applyFill="1"/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</cellXfs>
  <cellStyles count="2">
    <cellStyle name="Normal" xfId="0" builtinId="0"/>
    <cellStyle name="Normal 2 2" xfId="1" xr:uid="{00000000-0005-0000-0000-000001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82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10" defaultRowHeight="13.2" x14ac:dyDescent="0.25"/>
  <cols>
    <col min="1" max="1" width="11.77734375" customWidth="1"/>
    <col min="3" max="3" width="16.21875" customWidth="1"/>
    <col min="4" max="4" width="7.77734375" customWidth="1"/>
    <col min="5" max="5" width="6.5546875" customWidth="1"/>
    <col min="6" max="6" width="7.77734375" customWidth="1"/>
    <col min="15" max="16" width="10.88671875" style="7"/>
    <col min="31" max="32" width="11.44140625" style="7"/>
    <col min="38" max="38" width="11.44140625" style="7"/>
    <col min="46" max="46" width="11.44140625" style="7"/>
    <col min="47" max="47" width="10.88671875" style="7"/>
    <col min="73" max="73" width="11.44140625" style="7"/>
    <col min="84" max="89" width="11.44140625" style="7"/>
    <col min="90" max="90" width="10.88671875" style="7"/>
    <col min="91" max="91" width="11.44140625" style="7"/>
    <col min="93" max="93" width="10.88671875" style="7"/>
    <col min="99" max="99" width="13.5546875" customWidth="1"/>
    <col min="271" max="271" width="11.77734375" customWidth="1"/>
    <col min="273" max="273" width="16.21875" customWidth="1"/>
    <col min="527" max="527" width="11.77734375" customWidth="1"/>
    <col min="529" max="529" width="16.21875" customWidth="1"/>
    <col min="783" max="783" width="11.77734375" customWidth="1"/>
    <col min="785" max="785" width="16.21875" customWidth="1"/>
    <col min="1039" max="1039" width="11.77734375" customWidth="1"/>
    <col min="1041" max="1041" width="16.21875" customWidth="1"/>
    <col min="1295" max="1295" width="11.77734375" customWidth="1"/>
    <col min="1297" max="1297" width="16.21875" customWidth="1"/>
    <col min="1551" max="1551" width="11.77734375" customWidth="1"/>
    <col min="1553" max="1553" width="16.21875" customWidth="1"/>
    <col min="1807" max="1807" width="11.77734375" customWidth="1"/>
    <col min="1809" max="1809" width="16.21875" customWidth="1"/>
    <col min="2063" max="2063" width="11.77734375" customWidth="1"/>
    <col min="2065" max="2065" width="16.21875" customWidth="1"/>
    <col min="2319" max="2319" width="11.77734375" customWidth="1"/>
    <col min="2321" max="2321" width="16.21875" customWidth="1"/>
    <col min="2575" max="2575" width="11.77734375" customWidth="1"/>
    <col min="2577" max="2577" width="16.21875" customWidth="1"/>
    <col min="2831" max="2831" width="11.77734375" customWidth="1"/>
    <col min="2833" max="2833" width="16.21875" customWidth="1"/>
    <col min="3087" max="3087" width="11.77734375" customWidth="1"/>
    <col min="3089" max="3089" width="16.21875" customWidth="1"/>
    <col min="3343" max="3343" width="11.77734375" customWidth="1"/>
    <col min="3345" max="3345" width="16.21875" customWidth="1"/>
    <col min="3599" max="3599" width="11.77734375" customWidth="1"/>
    <col min="3601" max="3601" width="16.21875" customWidth="1"/>
    <col min="3855" max="3855" width="11.77734375" customWidth="1"/>
    <col min="3857" max="3857" width="16.21875" customWidth="1"/>
    <col min="4111" max="4111" width="11.77734375" customWidth="1"/>
    <col min="4113" max="4113" width="16.21875" customWidth="1"/>
    <col min="4367" max="4367" width="11.77734375" customWidth="1"/>
    <col min="4369" max="4369" width="16.21875" customWidth="1"/>
    <col min="4623" max="4623" width="11.77734375" customWidth="1"/>
    <col min="4625" max="4625" width="16.21875" customWidth="1"/>
    <col min="4879" max="4879" width="11.77734375" customWidth="1"/>
    <col min="4881" max="4881" width="16.21875" customWidth="1"/>
    <col min="5135" max="5135" width="11.77734375" customWidth="1"/>
    <col min="5137" max="5137" width="16.21875" customWidth="1"/>
    <col min="5391" max="5391" width="11.77734375" customWidth="1"/>
    <col min="5393" max="5393" width="16.21875" customWidth="1"/>
    <col min="5647" max="5647" width="11.77734375" customWidth="1"/>
    <col min="5649" max="5649" width="16.21875" customWidth="1"/>
    <col min="5903" max="5903" width="11.77734375" customWidth="1"/>
    <col min="5905" max="5905" width="16.21875" customWidth="1"/>
    <col min="6159" max="6159" width="11.77734375" customWidth="1"/>
    <col min="6161" max="6161" width="16.21875" customWidth="1"/>
    <col min="6415" max="6415" width="11.77734375" customWidth="1"/>
    <col min="6417" max="6417" width="16.21875" customWidth="1"/>
    <col min="6671" max="6671" width="11.77734375" customWidth="1"/>
    <col min="6673" max="6673" width="16.21875" customWidth="1"/>
    <col min="6927" max="6927" width="11.77734375" customWidth="1"/>
    <col min="6929" max="6929" width="16.21875" customWidth="1"/>
    <col min="7183" max="7183" width="11.77734375" customWidth="1"/>
    <col min="7185" max="7185" width="16.21875" customWidth="1"/>
    <col min="7439" max="7439" width="11.77734375" customWidth="1"/>
    <col min="7441" max="7441" width="16.21875" customWidth="1"/>
    <col min="7695" max="7695" width="11.77734375" customWidth="1"/>
    <col min="7697" max="7697" width="16.21875" customWidth="1"/>
    <col min="7951" max="7951" width="11.77734375" customWidth="1"/>
    <col min="7953" max="7953" width="16.21875" customWidth="1"/>
    <col min="8207" max="8207" width="11.77734375" customWidth="1"/>
    <col min="8209" max="8209" width="16.21875" customWidth="1"/>
    <col min="8463" max="8463" width="11.77734375" customWidth="1"/>
    <col min="8465" max="8465" width="16.21875" customWidth="1"/>
    <col min="8719" max="8719" width="11.77734375" customWidth="1"/>
    <col min="8721" max="8721" width="16.21875" customWidth="1"/>
    <col min="8975" max="8975" width="11.77734375" customWidth="1"/>
    <col min="8977" max="8977" width="16.21875" customWidth="1"/>
    <col min="9231" max="9231" width="11.77734375" customWidth="1"/>
    <col min="9233" max="9233" width="16.21875" customWidth="1"/>
    <col min="9487" max="9487" width="11.77734375" customWidth="1"/>
    <col min="9489" max="9489" width="16.21875" customWidth="1"/>
    <col min="9743" max="9743" width="11.77734375" customWidth="1"/>
    <col min="9745" max="9745" width="16.21875" customWidth="1"/>
    <col min="9999" max="9999" width="11.77734375" customWidth="1"/>
    <col min="10001" max="10001" width="16.21875" customWidth="1"/>
    <col min="10255" max="10255" width="11.77734375" customWidth="1"/>
    <col min="10257" max="10257" width="16.21875" customWidth="1"/>
    <col min="10511" max="10511" width="11.77734375" customWidth="1"/>
    <col min="10513" max="10513" width="16.21875" customWidth="1"/>
    <col min="10767" max="10767" width="11.77734375" customWidth="1"/>
    <col min="10769" max="10769" width="16.21875" customWidth="1"/>
    <col min="11023" max="11023" width="11.77734375" customWidth="1"/>
    <col min="11025" max="11025" width="16.21875" customWidth="1"/>
    <col min="11279" max="11279" width="11.77734375" customWidth="1"/>
    <col min="11281" max="11281" width="16.21875" customWidth="1"/>
    <col min="11535" max="11535" width="11.77734375" customWidth="1"/>
    <col min="11537" max="11537" width="16.21875" customWidth="1"/>
    <col min="11791" max="11791" width="11.77734375" customWidth="1"/>
    <col min="11793" max="11793" width="16.21875" customWidth="1"/>
    <col min="12047" max="12047" width="11.77734375" customWidth="1"/>
    <col min="12049" max="12049" width="16.21875" customWidth="1"/>
    <col min="12303" max="12303" width="11.77734375" customWidth="1"/>
    <col min="12305" max="12305" width="16.21875" customWidth="1"/>
    <col min="12559" max="12559" width="11.77734375" customWidth="1"/>
    <col min="12561" max="12561" width="16.21875" customWidth="1"/>
    <col min="12815" max="12815" width="11.77734375" customWidth="1"/>
    <col min="12817" max="12817" width="16.21875" customWidth="1"/>
    <col min="13071" max="13071" width="11.77734375" customWidth="1"/>
    <col min="13073" max="13073" width="16.21875" customWidth="1"/>
    <col min="13327" max="13327" width="11.77734375" customWidth="1"/>
    <col min="13329" max="13329" width="16.21875" customWidth="1"/>
    <col min="13583" max="13583" width="11.77734375" customWidth="1"/>
    <col min="13585" max="13585" width="16.21875" customWidth="1"/>
    <col min="13839" max="13839" width="11.77734375" customWidth="1"/>
    <col min="13841" max="13841" width="16.21875" customWidth="1"/>
    <col min="14095" max="14095" width="11.77734375" customWidth="1"/>
    <col min="14097" max="14097" width="16.21875" customWidth="1"/>
    <col min="14351" max="14351" width="11.77734375" customWidth="1"/>
    <col min="14353" max="14353" width="16.21875" customWidth="1"/>
    <col min="14607" max="14607" width="11.77734375" customWidth="1"/>
    <col min="14609" max="14609" width="16.21875" customWidth="1"/>
    <col min="14863" max="14863" width="11.77734375" customWidth="1"/>
    <col min="14865" max="14865" width="16.21875" customWidth="1"/>
    <col min="15119" max="15119" width="11.77734375" customWidth="1"/>
    <col min="15121" max="15121" width="16.21875" customWidth="1"/>
    <col min="15375" max="15375" width="11.77734375" customWidth="1"/>
    <col min="15377" max="15377" width="16.21875" customWidth="1"/>
    <col min="15631" max="15631" width="11.77734375" customWidth="1"/>
    <col min="15633" max="15633" width="16.21875" customWidth="1"/>
    <col min="15887" max="15887" width="11.77734375" customWidth="1"/>
    <col min="15889" max="15889" width="16.21875" customWidth="1"/>
    <col min="16143" max="16143" width="11.77734375" customWidth="1"/>
    <col min="16145" max="16145" width="16.21875" customWidth="1"/>
  </cols>
  <sheetData>
    <row r="1" spans="1:110" s="3" customFormat="1" ht="35.549999999999997" customHeight="1" x14ac:dyDescent="0.25">
      <c r="A1" s="7" t="s">
        <v>0</v>
      </c>
      <c r="B1" s="7" t="s">
        <v>1</v>
      </c>
      <c r="C1" s="7" t="s">
        <v>74</v>
      </c>
      <c r="D1" s="7" t="s">
        <v>75</v>
      </c>
      <c r="E1" s="7" t="s">
        <v>76</v>
      </c>
      <c r="F1" s="7" t="s">
        <v>77</v>
      </c>
      <c r="G1" s="7" t="s">
        <v>79</v>
      </c>
      <c r="H1" s="7" t="s">
        <v>80</v>
      </c>
      <c r="I1" s="7" t="s">
        <v>81</v>
      </c>
      <c r="J1" s="7" t="s">
        <v>82</v>
      </c>
      <c r="K1" s="7" t="s">
        <v>83</v>
      </c>
      <c r="L1" s="7" t="s">
        <v>84</v>
      </c>
      <c r="M1" s="7" t="s">
        <v>2</v>
      </c>
      <c r="N1" s="7" t="s">
        <v>85</v>
      </c>
      <c r="O1" s="11" t="s">
        <v>132</v>
      </c>
      <c r="P1" s="11" t="s">
        <v>133</v>
      </c>
      <c r="Q1" s="7" t="s">
        <v>3</v>
      </c>
      <c r="R1" s="7" t="s">
        <v>4</v>
      </c>
      <c r="S1" s="7" t="s">
        <v>5</v>
      </c>
      <c r="T1" s="7" t="s">
        <v>6</v>
      </c>
      <c r="U1" s="7" t="s">
        <v>7</v>
      </c>
      <c r="V1" s="7" t="s">
        <v>8</v>
      </c>
      <c r="W1" s="7" t="s">
        <v>86</v>
      </c>
      <c r="X1" s="7" t="s">
        <v>9</v>
      </c>
      <c r="Y1" s="7" t="s">
        <v>10</v>
      </c>
      <c r="Z1" s="7" t="s">
        <v>11</v>
      </c>
      <c r="AA1" s="7" t="s">
        <v>12</v>
      </c>
      <c r="AB1" s="7" t="s">
        <v>87</v>
      </c>
      <c r="AC1" s="7" t="s">
        <v>88</v>
      </c>
      <c r="AD1" s="7" t="s">
        <v>89</v>
      </c>
      <c r="AE1" s="8" t="s">
        <v>122</v>
      </c>
      <c r="AF1" s="8" t="s">
        <v>134</v>
      </c>
      <c r="AG1" s="7" t="s">
        <v>13</v>
      </c>
      <c r="AH1" s="7" t="s">
        <v>14</v>
      </c>
      <c r="AI1" s="7" t="s">
        <v>15</v>
      </c>
      <c r="AJ1" s="7" t="s">
        <v>90</v>
      </c>
      <c r="AK1" s="7" t="s">
        <v>91</v>
      </c>
      <c r="AL1" s="8" t="s">
        <v>135</v>
      </c>
      <c r="AM1" s="7" t="s">
        <v>16</v>
      </c>
      <c r="AN1" s="7" t="s">
        <v>92</v>
      </c>
      <c r="AO1" s="7" t="s">
        <v>93</v>
      </c>
      <c r="AP1" s="7" t="s">
        <v>94</v>
      </c>
      <c r="AQ1" s="7" t="s">
        <v>95</v>
      </c>
      <c r="AR1" s="7" t="s">
        <v>96</v>
      </c>
      <c r="AS1" s="7" t="s">
        <v>17</v>
      </c>
      <c r="AT1" s="8" t="s">
        <v>123</v>
      </c>
      <c r="AU1" s="11" t="s">
        <v>136</v>
      </c>
      <c r="AV1" s="7" t="s">
        <v>18</v>
      </c>
      <c r="AW1" s="7" t="s">
        <v>19</v>
      </c>
      <c r="AX1" s="7" t="s">
        <v>97</v>
      </c>
      <c r="AY1" s="7" t="s">
        <v>98</v>
      </c>
      <c r="AZ1" s="7" t="s">
        <v>99</v>
      </c>
      <c r="BA1" s="7" t="s">
        <v>20</v>
      </c>
      <c r="BB1" s="7" t="s">
        <v>21</v>
      </c>
      <c r="BC1" s="7" t="s">
        <v>100</v>
      </c>
      <c r="BD1" s="7" t="s">
        <v>22</v>
      </c>
      <c r="BE1" s="7" t="s">
        <v>23</v>
      </c>
      <c r="BF1" s="7" t="s">
        <v>24</v>
      </c>
      <c r="BG1" s="7" t="s">
        <v>25</v>
      </c>
      <c r="BH1" s="7" t="s">
        <v>101</v>
      </c>
      <c r="BI1" s="7" t="s">
        <v>102</v>
      </c>
      <c r="BJ1" s="7" t="s">
        <v>60</v>
      </c>
      <c r="BK1" s="7" t="s">
        <v>61</v>
      </c>
      <c r="BL1" s="7" t="s">
        <v>26</v>
      </c>
      <c r="BM1" s="7" t="s">
        <v>27</v>
      </c>
      <c r="BN1" s="7" t="s">
        <v>28</v>
      </c>
      <c r="BO1" s="7" t="s">
        <v>103</v>
      </c>
      <c r="BP1" s="7" t="s">
        <v>29</v>
      </c>
      <c r="BQ1" s="7" t="s">
        <v>30</v>
      </c>
      <c r="BR1" s="7" t="s">
        <v>31</v>
      </c>
      <c r="BS1" s="7" t="s">
        <v>32</v>
      </c>
      <c r="BT1" s="7" t="s">
        <v>33</v>
      </c>
      <c r="BU1" s="7" t="s">
        <v>104</v>
      </c>
      <c r="BV1" s="7" t="s">
        <v>124</v>
      </c>
      <c r="BW1" s="7" t="s">
        <v>105</v>
      </c>
      <c r="BX1" s="7" t="s">
        <v>62</v>
      </c>
      <c r="BY1" s="7" t="s">
        <v>118</v>
      </c>
      <c r="BZ1" s="7" t="s">
        <v>106</v>
      </c>
      <c r="CA1" s="7" t="s">
        <v>63</v>
      </c>
      <c r="CB1" s="7" t="s">
        <v>107</v>
      </c>
      <c r="CC1" s="7" t="s">
        <v>108</v>
      </c>
      <c r="CD1" s="7" t="s">
        <v>64</v>
      </c>
      <c r="CE1" s="7" t="s">
        <v>65</v>
      </c>
      <c r="CF1" s="8" t="s">
        <v>119</v>
      </c>
      <c r="CG1" s="8" t="s">
        <v>120</v>
      </c>
      <c r="CH1" s="8" t="s">
        <v>121</v>
      </c>
      <c r="CI1" s="8" t="s">
        <v>125</v>
      </c>
      <c r="CJ1" s="8" t="s">
        <v>34</v>
      </c>
      <c r="CK1" s="8" t="s">
        <v>35</v>
      </c>
      <c r="CL1" s="11" t="s">
        <v>137</v>
      </c>
      <c r="CM1" s="8" t="s">
        <v>36</v>
      </c>
      <c r="CN1" s="7" t="s">
        <v>37</v>
      </c>
      <c r="CO1" s="11" t="s">
        <v>138</v>
      </c>
      <c r="CP1" s="7" t="s">
        <v>38</v>
      </c>
      <c r="CQ1" s="6" t="s">
        <v>39</v>
      </c>
      <c r="CR1" s="7" t="s">
        <v>41</v>
      </c>
      <c r="CS1" s="7" t="s">
        <v>40</v>
      </c>
      <c r="CT1" s="2" t="s">
        <v>42</v>
      </c>
      <c r="CU1" s="19" t="s">
        <v>153</v>
      </c>
      <c r="CV1" s="19" t="s">
        <v>153</v>
      </c>
      <c r="CW1" s="19" t="s">
        <v>154</v>
      </c>
      <c r="CX1" s="19" t="s">
        <v>154</v>
      </c>
      <c r="CY1"/>
      <c r="CZ1"/>
      <c r="DA1"/>
      <c r="DB1"/>
      <c r="DC1"/>
      <c r="DD1"/>
      <c r="DE1"/>
      <c r="DF1"/>
    </row>
    <row r="2" spans="1:110" x14ac:dyDescent="0.25">
      <c r="A2" s="9">
        <v>115</v>
      </c>
      <c r="B2" s="10">
        <v>44251</v>
      </c>
      <c r="C2" s="9">
        <v>8</v>
      </c>
      <c r="D2" s="9">
        <v>2021</v>
      </c>
      <c r="E2" s="9">
        <v>1100109456</v>
      </c>
      <c r="F2" s="9">
        <v>1</v>
      </c>
      <c r="G2" s="9" t="s">
        <v>156</v>
      </c>
      <c r="H2" s="9" t="s">
        <v>157</v>
      </c>
      <c r="I2" s="9" t="s">
        <v>58</v>
      </c>
      <c r="J2" s="9" t="s">
        <v>143</v>
      </c>
      <c r="K2" s="9" t="s">
        <v>43</v>
      </c>
      <c r="L2" s="9">
        <v>1005718494</v>
      </c>
      <c r="M2" s="9">
        <v>17</v>
      </c>
      <c r="N2" s="9">
        <v>1</v>
      </c>
      <c r="O2" s="9">
        <v>170</v>
      </c>
      <c r="P2" s="9" t="s">
        <v>140</v>
      </c>
      <c r="Q2" s="9" t="s">
        <v>44</v>
      </c>
      <c r="R2" s="9">
        <v>170</v>
      </c>
      <c r="S2" s="9">
        <v>73</v>
      </c>
      <c r="T2" s="9">
        <v>1</v>
      </c>
      <c r="U2" s="9">
        <v>1</v>
      </c>
      <c r="V2" s="9" t="s">
        <v>115</v>
      </c>
      <c r="W2" s="9" t="s">
        <v>45</v>
      </c>
      <c r="X2" s="9" t="s">
        <v>45</v>
      </c>
      <c r="Y2" s="9" t="s">
        <v>73</v>
      </c>
      <c r="Z2" s="9" t="s">
        <v>158</v>
      </c>
      <c r="AA2" s="9">
        <v>9997</v>
      </c>
      <c r="AB2" s="9" t="s">
        <v>52</v>
      </c>
      <c r="AC2" s="9" t="s">
        <v>112</v>
      </c>
      <c r="AD2" s="9">
        <v>6</v>
      </c>
      <c r="AE2" s="9"/>
      <c r="AF2" s="9">
        <v>2</v>
      </c>
      <c r="AG2" s="9">
        <v>2</v>
      </c>
      <c r="AH2" s="9">
        <v>2</v>
      </c>
      <c r="AI2" s="9">
        <v>2</v>
      </c>
      <c r="AJ2" s="9">
        <v>2</v>
      </c>
      <c r="AK2" s="9">
        <v>2</v>
      </c>
      <c r="AL2" s="9" t="s">
        <v>45</v>
      </c>
      <c r="AM2" s="9">
        <v>2</v>
      </c>
      <c r="AN2" s="9">
        <v>2</v>
      </c>
      <c r="AO2" s="9">
        <v>2</v>
      </c>
      <c r="AP2" s="9">
        <v>2</v>
      </c>
      <c r="AQ2" s="9">
        <v>2</v>
      </c>
      <c r="AR2" s="9">
        <v>2</v>
      </c>
      <c r="AS2" s="9">
        <v>1</v>
      </c>
      <c r="AT2" s="9">
        <v>1</v>
      </c>
      <c r="AU2" s="9">
        <v>170</v>
      </c>
      <c r="AV2" s="9">
        <v>73</v>
      </c>
      <c r="AW2" s="9">
        <v>1</v>
      </c>
      <c r="AX2" s="10">
        <v>44250</v>
      </c>
      <c r="AY2" s="10">
        <v>44240</v>
      </c>
      <c r="AZ2" s="9">
        <v>2</v>
      </c>
      <c r="BA2" s="9">
        <v>1</v>
      </c>
      <c r="BB2" s="10">
        <v>44250</v>
      </c>
      <c r="BC2" s="9">
        <v>1</v>
      </c>
      <c r="BD2" s="9" t="s">
        <v>47</v>
      </c>
      <c r="BE2" s="9">
        <v>0</v>
      </c>
      <c r="BF2" s="9">
        <v>3204606318</v>
      </c>
      <c r="BG2" s="10">
        <v>37809</v>
      </c>
      <c r="BH2" s="9" t="s">
        <v>45</v>
      </c>
      <c r="BI2" s="9" t="s">
        <v>45</v>
      </c>
      <c r="BJ2" s="9" t="s">
        <v>45</v>
      </c>
      <c r="BK2" s="9"/>
      <c r="BL2" s="10">
        <v>44259</v>
      </c>
      <c r="BM2" s="9" t="s">
        <v>159</v>
      </c>
      <c r="BN2" s="9">
        <v>5946161</v>
      </c>
      <c r="BO2" s="10">
        <v>44251</v>
      </c>
      <c r="BP2" s="9"/>
      <c r="BQ2" s="9" t="s">
        <v>45</v>
      </c>
      <c r="BR2" s="9" t="s">
        <v>45</v>
      </c>
      <c r="BS2" s="9" t="s">
        <v>45</v>
      </c>
      <c r="BT2" s="9" t="s">
        <v>160</v>
      </c>
      <c r="BU2" s="9">
        <v>4</v>
      </c>
      <c r="BV2" s="10" t="s">
        <v>47</v>
      </c>
      <c r="BW2" s="9">
        <v>2</v>
      </c>
      <c r="BX2" s="9">
        <v>2</v>
      </c>
      <c r="BY2" s="9" t="s">
        <v>47</v>
      </c>
      <c r="BZ2" s="9">
        <v>2</v>
      </c>
      <c r="CA2" s="10">
        <v>44251</v>
      </c>
      <c r="CB2" s="10">
        <v>44251</v>
      </c>
      <c r="CC2" s="9" t="s">
        <v>45</v>
      </c>
      <c r="CD2" s="10" t="s">
        <v>47</v>
      </c>
      <c r="CE2" s="10" t="s">
        <v>47</v>
      </c>
      <c r="CF2" s="9" t="s">
        <v>45</v>
      </c>
      <c r="CG2" s="9" t="s">
        <v>45</v>
      </c>
      <c r="CH2" s="9" t="s">
        <v>45</v>
      </c>
      <c r="CI2" s="9" t="s">
        <v>45</v>
      </c>
      <c r="CJ2" s="9" t="s">
        <v>67</v>
      </c>
      <c r="CK2" s="9"/>
      <c r="CL2" s="9" t="s">
        <v>140</v>
      </c>
      <c r="CM2" s="9" t="s">
        <v>49</v>
      </c>
      <c r="CN2" s="9" t="s">
        <v>50</v>
      </c>
      <c r="CO2" s="9" t="s">
        <v>140</v>
      </c>
      <c r="CP2" s="9" t="s">
        <v>49</v>
      </c>
      <c r="CQ2" s="9" t="s">
        <v>50</v>
      </c>
      <c r="CR2" s="9"/>
      <c r="CS2" s="9"/>
      <c r="CT2" s="9">
        <v>7</v>
      </c>
      <c r="CU2" s="2">
        <f>CB2-CA2</f>
        <v>0</v>
      </c>
      <c r="CV2" s="2" t="str">
        <f t="shared" ref="CV2:CV65" si="0">IF(ISERROR(CU2),"-",IF(CU2&lt;0,"ERROR",IF(CU2&lt;8,"ALTA",IF(CU2&lt;16,"MEDIA","BAJA"))))</f>
        <v>ALTA</v>
      </c>
      <c r="CW2" s="2" t="e">
        <f>CE2-CD2</f>
        <v>#VALUE!</v>
      </c>
      <c r="CX2" s="2" t="str">
        <f>IF(ISERROR(CW2),"-",IF(CW2&lt;0,"ERROR",IF(CW2&lt;8,"ALTA",IF(CW2&lt;16,"MEDIA","BAJA"))))</f>
        <v>-</v>
      </c>
      <c r="CY2" s="1"/>
      <c r="CZ2" s="1"/>
      <c r="DE2" s="1"/>
    </row>
    <row r="3" spans="1:110" x14ac:dyDescent="0.25">
      <c r="A3" s="9">
        <v>115</v>
      </c>
      <c r="B3" s="10">
        <v>44270</v>
      </c>
      <c r="C3" s="9">
        <v>10</v>
      </c>
      <c r="D3" s="9">
        <v>2021</v>
      </c>
      <c r="E3" s="9">
        <v>7600102870</v>
      </c>
      <c r="F3" s="9">
        <v>1</v>
      </c>
      <c r="G3" s="9" t="s">
        <v>144</v>
      </c>
      <c r="H3" s="9" t="s">
        <v>161</v>
      </c>
      <c r="I3" s="9" t="s">
        <v>162</v>
      </c>
      <c r="J3" s="9" t="s">
        <v>142</v>
      </c>
      <c r="K3" s="9" t="s">
        <v>43</v>
      </c>
      <c r="L3" s="9">
        <v>1014668058</v>
      </c>
      <c r="M3" s="9">
        <v>13</v>
      </c>
      <c r="N3" s="9">
        <v>1</v>
      </c>
      <c r="O3" s="9">
        <v>170</v>
      </c>
      <c r="P3" s="9" t="s">
        <v>140</v>
      </c>
      <c r="Q3" s="9" t="s">
        <v>53</v>
      </c>
      <c r="R3" s="9">
        <v>170</v>
      </c>
      <c r="S3" s="9">
        <v>73</v>
      </c>
      <c r="T3" s="9">
        <v>616</v>
      </c>
      <c r="U3" s="9">
        <v>3</v>
      </c>
      <c r="V3" s="9" t="s">
        <v>45</v>
      </c>
      <c r="W3" s="9" t="s">
        <v>45</v>
      </c>
      <c r="X3" s="9" t="s">
        <v>163</v>
      </c>
      <c r="Y3" s="9" t="s">
        <v>45</v>
      </c>
      <c r="Z3" s="9" t="s">
        <v>164</v>
      </c>
      <c r="AA3" s="9">
        <v>9999</v>
      </c>
      <c r="AB3" s="9" t="s">
        <v>52</v>
      </c>
      <c r="AC3" s="9" t="s">
        <v>165</v>
      </c>
      <c r="AD3" s="9">
        <v>6</v>
      </c>
      <c r="AE3" s="9"/>
      <c r="AF3" s="9" t="s">
        <v>45</v>
      </c>
      <c r="AG3" s="9">
        <v>2</v>
      </c>
      <c r="AH3" s="9">
        <v>2</v>
      </c>
      <c r="AI3" s="9">
        <v>2</v>
      </c>
      <c r="AJ3" s="9">
        <v>2</v>
      </c>
      <c r="AK3" s="9" t="s">
        <v>45</v>
      </c>
      <c r="AL3" s="9" t="s">
        <v>45</v>
      </c>
      <c r="AM3" s="9">
        <v>2</v>
      </c>
      <c r="AN3" s="9">
        <v>2</v>
      </c>
      <c r="AO3" s="9" t="s">
        <v>45</v>
      </c>
      <c r="AP3" s="9">
        <v>2</v>
      </c>
      <c r="AQ3" s="9">
        <v>2</v>
      </c>
      <c r="AR3" s="9">
        <v>2</v>
      </c>
      <c r="AS3" s="9">
        <v>1</v>
      </c>
      <c r="AT3" s="9">
        <v>1</v>
      </c>
      <c r="AU3" s="9">
        <v>170</v>
      </c>
      <c r="AV3" s="9">
        <v>73</v>
      </c>
      <c r="AW3" s="9">
        <v>616</v>
      </c>
      <c r="AX3" s="10">
        <v>44268</v>
      </c>
      <c r="AY3" s="10">
        <v>44268</v>
      </c>
      <c r="AZ3" s="9">
        <v>2</v>
      </c>
      <c r="BA3" s="9">
        <v>1</v>
      </c>
      <c r="BB3" s="10">
        <v>44268</v>
      </c>
      <c r="BC3" s="9">
        <v>1</v>
      </c>
      <c r="BD3" s="9" t="s">
        <v>47</v>
      </c>
      <c r="BE3" s="9">
        <v>0</v>
      </c>
      <c r="BF3" s="9">
        <v>3102005044</v>
      </c>
      <c r="BG3" s="10">
        <v>39411</v>
      </c>
      <c r="BH3" s="9" t="s">
        <v>45</v>
      </c>
      <c r="BI3" s="9" t="s">
        <v>45</v>
      </c>
      <c r="BJ3" s="9" t="s">
        <v>45</v>
      </c>
      <c r="BK3" s="9"/>
      <c r="BL3" s="10">
        <v>44287</v>
      </c>
      <c r="BM3" s="9" t="s">
        <v>166</v>
      </c>
      <c r="BN3" s="9">
        <v>3319090</v>
      </c>
      <c r="BO3" s="10">
        <v>44271</v>
      </c>
      <c r="BP3" s="9"/>
      <c r="BQ3" s="9" t="s">
        <v>45</v>
      </c>
      <c r="BR3" s="9" t="s">
        <v>45</v>
      </c>
      <c r="BS3" s="9" t="s">
        <v>45</v>
      </c>
      <c r="BT3" s="9" t="s">
        <v>167</v>
      </c>
      <c r="BU3" s="9">
        <v>14</v>
      </c>
      <c r="BV3" s="10" t="s">
        <v>47</v>
      </c>
      <c r="BW3" s="9">
        <v>2</v>
      </c>
      <c r="BX3" s="9">
        <v>2</v>
      </c>
      <c r="BY3" s="9" t="s">
        <v>47</v>
      </c>
      <c r="BZ3" s="9">
        <v>2</v>
      </c>
      <c r="CA3" s="10">
        <v>44268</v>
      </c>
      <c r="CB3" s="10">
        <v>44268</v>
      </c>
      <c r="CC3" s="9" t="s">
        <v>45</v>
      </c>
      <c r="CD3" s="10" t="s">
        <v>47</v>
      </c>
      <c r="CE3" s="10" t="s">
        <v>47</v>
      </c>
      <c r="CF3" s="9" t="s">
        <v>45</v>
      </c>
      <c r="CG3" s="9" t="s">
        <v>45</v>
      </c>
      <c r="CH3" s="9" t="s">
        <v>45</v>
      </c>
      <c r="CI3" s="9" t="s">
        <v>45</v>
      </c>
      <c r="CJ3" s="9" t="s">
        <v>67</v>
      </c>
      <c r="CK3" s="9"/>
      <c r="CL3" s="9" t="s">
        <v>140</v>
      </c>
      <c r="CM3" s="9" t="s">
        <v>49</v>
      </c>
      <c r="CN3" s="9" t="s">
        <v>145</v>
      </c>
      <c r="CO3" s="9" t="s">
        <v>140</v>
      </c>
      <c r="CP3" s="9" t="s">
        <v>49</v>
      </c>
      <c r="CQ3" s="9" t="s">
        <v>145</v>
      </c>
      <c r="CR3" s="9"/>
      <c r="CS3" s="9"/>
      <c r="CT3" s="9">
        <v>29</v>
      </c>
      <c r="CU3" s="2">
        <f t="shared" ref="CU3:CU66" si="1">CB3-CA3</f>
        <v>0</v>
      </c>
      <c r="CV3" s="2" t="str">
        <f t="shared" si="0"/>
        <v>ALTA</v>
      </c>
      <c r="CW3" s="2" t="e">
        <f t="shared" ref="CW3:CW66" si="2">CE3-CD3</f>
        <v>#VALUE!</v>
      </c>
      <c r="CX3" s="2" t="str">
        <f t="shared" ref="CX3:CX66" si="3">IF(ISERROR(CW3),"-",IF(CW3&lt;0,"ERROR",IF(CW3&lt;8,"ALTA",IF(CW3&lt;16,"MEDIA","BAJA"))))</f>
        <v>-</v>
      </c>
      <c r="CY3" s="1"/>
      <c r="CZ3" s="1"/>
      <c r="DE3" s="1"/>
    </row>
    <row r="4" spans="1:110" x14ac:dyDescent="0.25">
      <c r="A4" s="9">
        <v>115</v>
      </c>
      <c r="B4" s="10">
        <v>44231</v>
      </c>
      <c r="C4" s="9">
        <v>4</v>
      </c>
      <c r="D4" s="9">
        <v>2021</v>
      </c>
      <c r="E4" s="9">
        <v>1100108258</v>
      </c>
      <c r="F4" s="9">
        <v>1</v>
      </c>
      <c r="G4" s="9" t="s">
        <v>128</v>
      </c>
      <c r="H4" s="9" t="s">
        <v>168</v>
      </c>
      <c r="I4" s="9" t="s">
        <v>169</v>
      </c>
      <c r="J4" s="9" t="s">
        <v>146</v>
      </c>
      <c r="K4" s="9" t="s">
        <v>43</v>
      </c>
      <c r="L4" s="9">
        <v>1024566616</v>
      </c>
      <c r="M4" s="9">
        <v>7</v>
      </c>
      <c r="N4" s="9">
        <v>1</v>
      </c>
      <c r="O4" s="9">
        <v>170</v>
      </c>
      <c r="P4" s="9" t="s">
        <v>140</v>
      </c>
      <c r="Q4" s="9" t="s">
        <v>53</v>
      </c>
      <c r="R4" s="9">
        <v>170</v>
      </c>
      <c r="S4" s="9">
        <v>73</v>
      </c>
      <c r="T4" s="9">
        <v>1</v>
      </c>
      <c r="U4" s="9">
        <v>1</v>
      </c>
      <c r="V4" s="9" t="s">
        <v>50</v>
      </c>
      <c r="W4" s="9" t="s">
        <v>45</v>
      </c>
      <c r="X4" s="9" t="s">
        <v>45</v>
      </c>
      <c r="Y4" s="9" t="s">
        <v>73</v>
      </c>
      <c r="Z4" s="9" t="s">
        <v>57</v>
      </c>
      <c r="AA4" s="9">
        <v>9997</v>
      </c>
      <c r="AB4" s="9" t="s">
        <v>46</v>
      </c>
      <c r="AC4" s="9" t="s">
        <v>109</v>
      </c>
      <c r="AD4" s="9">
        <v>6</v>
      </c>
      <c r="AE4" s="9"/>
      <c r="AF4" s="9">
        <v>2</v>
      </c>
      <c r="AG4" s="9">
        <v>2</v>
      </c>
      <c r="AH4" s="9">
        <v>2</v>
      </c>
      <c r="AI4" s="9">
        <v>2</v>
      </c>
      <c r="AJ4" s="9">
        <v>2</v>
      </c>
      <c r="AK4" s="9" t="s">
        <v>45</v>
      </c>
      <c r="AL4" s="9" t="s">
        <v>45</v>
      </c>
      <c r="AM4" s="9">
        <v>2</v>
      </c>
      <c r="AN4" s="9">
        <v>2</v>
      </c>
      <c r="AO4" s="9" t="s">
        <v>45</v>
      </c>
      <c r="AP4" s="9">
        <v>2</v>
      </c>
      <c r="AQ4" s="9">
        <v>2</v>
      </c>
      <c r="AR4" s="9">
        <v>2</v>
      </c>
      <c r="AS4" s="9">
        <v>1</v>
      </c>
      <c r="AT4" s="9">
        <v>1</v>
      </c>
      <c r="AU4" s="9">
        <v>170</v>
      </c>
      <c r="AV4" s="9">
        <v>73</v>
      </c>
      <c r="AW4" s="9">
        <v>1</v>
      </c>
      <c r="AX4" s="10">
        <v>44221</v>
      </c>
      <c r="AY4" s="10">
        <v>44185</v>
      </c>
      <c r="AZ4" s="9">
        <v>2</v>
      </c>
      <c r="BA4" s="9">
        <v>1</v>
      </c>
      <c r="BB4" s="10">
        <v>44221</v>
      </c>
      <c r="BC4" s="9">
        <v>1</v>
      </c>
      <c r="BD4" s="9" t="s">
        <v>47</v>
      </c>
      <c r="BE4" s="9">
        <v>0</v>
      </c>
      <c r="BF4" s="9">
        <v>3165388143</v>
      </c>
      <c r="BG4" s="10">
        <v>41614</v>
      </c>
      <c r="BH4" s="9" t="s">
        <v>45</v>
      </c>
      <c r="BI4" s="9" t="s">
        <v>45</v>
      </c>
      <c r="BJ4" s="9" t="s">
        <v>45</v>
      </c>
      <c r="BK4" s="9"/>
      <c r="BL4" s="10">
        <v>44259</v>
      </c>
      <c r="BM4" s="9" t="s">
        <v>170</v>
      </c>
      <c r="BN4" s="9">
        <v>3534000</v>
      </c>
      <c r="BO4" s="10">
        <v>44231</v>
      </c>
      <c r="BP4" s="9"/>
      <c r="BQ4" s="9" t="s">
        <v>45</v>
      </c>
      <c r="BR4" s="9" t="s">
        <v>45</v>
      </c>
      <c r="BS4" s="9" t="s">
        <v>45</v>
      </c>
      <c r="BT4" s="9" t="s">
        <v>167</v>
      </c>
      <c r="BU4" s="9">
        <v>10</v>
      </c>
      <c r="BV4" s="10">
        <v>44221</v>
      </c>
      <c r="BW4" s="9">
        <v>2</v>
      </c>
      <c r="BX4" s="9">
        <v>2</v>
      </c>
      <c r="BY4" s="9" t="s">
        <v>47</v>
      </c>
      <c r="BZ4" s="9">
        <v>2</v>
      </c>
      <c r="CA4" s="10">
        <v>44222</v>
      </c>
      <c r="CB4" s="10">
        <v>44222</v>
      </c>
      <c r="CC4" s="9" t="s">
        <v>45</v>
      </c>
      <c r="CD4" s="10" t="s">
        <v>47</v>
      </c>
      <c r="CE4" s="10" t="s">
        <v>47</v>
      </c>
      <c r="CF4" s="9" t="s">
        <v>45</v>
      </c>
      <c r="CG4" s="9" t="s">
        <v>45</v>
      </c>
      <c r="CH4" s="9" t="s">
        <v>45</v>
      </c>
      <c r="CI4" s="9" t="s">
        <v>45</v>
      </c>
      <c r="CJ4" s="9" t="s">
        <v>67</v>
      </c>
      <c r="CK4" s="9"/>
      <c r="CL4" s="9" t="s">
        <v>140</v>
      </c>
      <c r="CM4" s="9" t="s">
        <v>49</v>
      </c>
      <c r="CN4" s="9" t="s">
        <v>50</v>
      </c>
      <c r="CO4" s="9" t="s">
        <v>140</v>
      </c>
      <c r="CP4" s="9" t="s">
        <v>49</v>
      </c>
      <c r="CQ4" s="9" t="s">
        <v>50</v>
      </c>
      <c r="CR4" s="9"/>
      <c r="CS4" s="9"/>
      <c r="CT4" s="9">
        <v>3</v>
      </c>
      <c r="CU4" s="2">
        <f t="shared" si="1"/>
        <v>0</v>
      </c>
      <c r="CV4" s="2" t="str">
        <f t="shared" si="0"/>
        <v>ALTA</v>
      </c>
      <c r="CW4" s="2" t="e">
        <f t="shared" si="2"/>
        <v>#VALUE!</v>
      </c>
      <c r="CX4" s="2" t="str">
        <f t="shared" si="3"/>
        <v>-</v>
      </c>
    </row>
    <row r="5" spans="1:110" x14ac:dyDescent="0.25">
      <c r="A5" s="9">
        <v>115</v>
      </c>
      <c r="B5" s="9">
        <v>44272</v>
      </c>
      <c r="C5" s="9">
        <v>10</v>
      </c>
      <c r="D5" s="9">
        <v>2021</v>
      </c>
      <c r="E5" s="9">
        <v>7300101047</v>
      </c>
      <c r="F5" s="9">
        <v>1</v>
      </c>
      <c r="G5" s="9" t="s">
        <v>171</v>
      </c>
      <c r="H5" s="9" t="s">
        <v>172</v>
      </c>
      <c r="I5" s="9" t="s">
        <v>173</v>
      </c>
      <c r="J5" s="9" t="s">
        <v>174</v>
      </c>
      <c r="K5" s="9" t="s">
        <v>43</v>
      </c>
      <c r="L5" s="9">
        <v>1104695672</v>
      </c>
      <c r="M5" s="9">
        <v>16</v>
      </c>
      <c r="N5" s="9">
        <v>1</v>
      </c>
      <c r="O5" s="9">
        <v>170</v>
      </c>
      <c r="P5" s="9" t="s">
        <v>140</v>
      </c>
      <c r="Q5" s="9" t="s">
        <v>44</v>
      </c>
      <c r="R5" s="9">
        <v>170</v>
      </c>
      <c r="S5" s="9">
        <v>73</v>
      </c>
      <c r="T5" s="9">
        <v>411</v>
      </c>
      <c r="U5" s="9">
        <v>1</v>
      </c>
      <c r="V5" s="9" t="s">
        <v>115</v>
      </c>
      <c r="W5" s="9" t="s">
        <v>45</v>
      </c>
      <c r="X5" s="9" t="s">
        <v>45</v>
      </c>
      <c r="Y5" s="9" t="s">
        <v>73</v>
      </c>
      <c r="Z5" s="9" t="s">
        <v>175</v>
      </c>
      <c r="AA5" s="9">
        <v>9997</v>
      </c>
      <c r="AB5" s="9" t="s">
        <v>46</v>
      </c>
      <c r="AC5" s="9" t="s">
        <v>129</v>
      </c>
      <c r="AD5" s="9">
        <v>6</v>
      </c>
      <c r="AE5" s="9"/>
      <c r="AF5" s="9">
        <v>2</v>
      </c>
      <c r="AG5" s="9">
        <v>2</v>
      </c>
      <c r="AH5" s="9">
        <v>2</v>
      </c>
      <c r="AI5" s="9">
        <v>2</v>
      </c>
      <c r="AJ5" s="9">
        <v>2</v>
      </c>
      <c r="AK5" s="9">
        <v>2</v>
      </c>
      <c r="AL5" s="9" t="s">
        <v>45</v>
      </c>
      <c r="AM5" s="9">
        <v>2</v>
      </c>
      <c r="AN5" s="9">
        <v>2</v>
      </c>
      <c r="AO5" s="9">
        <v>2</v>
      </c>
      <c r="AP5" s="9">
        <v>2</v>
      </c>
      <c r="AQ5" s="9">
        <v>2</v>
      </c>
      <c r="AR5" s="9">
        <v>2</v>
      </c>
      <c r="AS5" s="9">
        <v>1</v>
      </c>
      <c r="AT5" s="9">
        <v>1</v>
      </c>
      <c r="AU5" s="9">
        <v>170</v>
      </c>
      <c r="AV5" s="9">
        <v>73</v>
      </c>
      <c r="AW5" s="9">
        <v>411</v>
      </c>
      <c r="AX5" s="9">
        <v>44266</v>
      </c>
      <c r="AY5" s="9">
        <v>44256</v>
      </c>
      <c r="AZ5" s="9">
        <v>2</v>
      </c>
      <c r="BA5" s="9">
        <v>1</v>
      </c>
      <c r="BB5" s="9">
        <v>44266</v>
      </c>
      <c r="BC5" s="9">
        <v>2</v>
      </c>
      <c r="BD5" s="9">
        <v>44267</v>
      </c>
      <c r="BE5" s="9">
        <v>0</v>
      </c>
      <c r="BF5" s="9">
        <v>3222166969</v>
      </c>
      <c r="BG5" s="9">
        <v>38292</v>
      </c>
      <c r="BH5" s="9">
        <v>726610619</v>
      </c>
      <c r="BI5" s="9" t="s">
        <v>176</v>
      </c>
      <c r="BJ5" s="9" t="s">
        <v>45</v>
      </c>
      <c r="BK5" s="9"/>
      <c r="BL5" s="9">
        <v>44287</v>
      </c>
      <c r="BM5" s="9" t="s">
        <v>55</v>
      </c>
      <c r="BN5" s="9">
        <v>2739805</v>
      </c>
      <c r="BO5" s="9">
        <v>44274</v>
      </c>
      <c r="BP5" s="9">
        <v>8907068339</v>
      </c>
      <c r="BQ5" s="9" t="s">
        <v>45</v>
      </c>
      <c r="BR5" s="9" t="s">
        <v>45</v>
      </c>
      <c r="BS5" s="9" t="s">
        <v>45</v>
      </c>
      <c r="BT5" s="9" t="s">
        <v>167</v>
      </c>
      <c r="BU5" s="9">
        <v>1</v>
      </c>
      <c r="BV5" s="9" t="s">
        <v>47</v>
      </c>
      <c r="BW5" s="9">
        <v>2</v>
      </c>
      <c r="BX5" s="9">
        <v>2</v>
      </c>
      <c r="BY5" s="9">
        <v>44266</v>
      </c>
      <c r="BZ5" s="9">
        <v>1</v>
      </c>
      <c r="CA5" s="10">
        <v>44266</v>
      </c>
      <c r="CB5" s="10">
        <v>44266</v>
      </c>
      <c r="CC5" s="9" t="s">
        <v>45</v>
      </c>
      <c r="CD5" s="10" t="s">
        <v>47</v>
      </c>
      <c r="CE5" s="10" t="s">
        <v>47</v>
      </c>
      <c r="CF5" s="9" t="s">
        <v>45</v>
      </c>
      <c r="CG5" s="9" t="s">
        <v>45</v>
      </c>
      <c r="CH5" s="9" t="s">
        <v>45</v>
      </c>
      <c r="CI5" s="9" t="s">
        <v>45</v>
      </c>
      <c r="CJ5" s="9" t="s">
        <v>67</v>
      </c>
      <c r="CK5" s="9" t="s">
        <v>48</v>
      </c>
      <c r="CL5" s="9" t="s">
        <v>140</v>
      </c>
      <c r="CM5" s="9" t="s">
        <v>49</v>
      </c>
      <c r="CN5" s="9" t="s">
        <v>127</v>
      </c>
      <c r="CO5" s="9" t="s">
        <v>140</v>
      </c>
      <c r="CP5" s="9" t="s">
        <v>49</v>
      </c>
      <c r="CQ5" s="9" t="s">
        <v>127</v>
      </c>
      <c r="CR5" s="9" t="s">
        <v>49</v>
      </c>
      <c r="CS5" s="9" t="s">
        <v>50</v>
      </c>
      <c r="CT5" s="9">
        <v>21</v>
      </c>
      <c r="CU5" s="2">
        <f t="shared" si="1"/>
        <v>0</v>
      </c>
      <c r="CV5" s="2" t="str">
        <f t="shared" si="0"/>
        <v>ALTA</v>
      </c>
      <c r="CW5" s="2" t="e">
        <f t="shared" si="2"/>
        <v>#VALUE!</v>
      </c>
      <c r="CX5" s="2" t="str">
        <f t="shared" si="3"/>
        <v>-</v>
      </c>
    </row>
    <row r="6" spans="1:110" s="2" customFormat="1" x14ac:dyDescent="0.25">
      <c r="A6" s="12">
        <v>115</v>
      </c>
      <c r="B6" s="13">
        <v>44278</v>
      </c>
      <c r="C6" s="12">
        <v>12</v>
      </c>
      <c r="D6" s="12">
        <v>2021</v>
      </c>
      <c r="E6" s="12">
        <v>7300101047</v>
      </c>
      <c r="F6" s="12">
        <v>1</v>
      </c>
      <c r="G6" s="12" t="s">
        <v>177</v>
      </c>
      <c r="H6" s="12" t="s">
        <v>178</v>
      </c>
      <c r="I6" s="12" t="s">
        <v>179</v>
      </c>
      <c r="J6" s="12" t="s">
        <v>180</v>
      </c>
      <c r="K6" s="12" t="s">
        <v>51</v>
      </c>
      <c r="L6" s="12">
        <v>1105062709</v>
      </c>
      <c r="M6" s="12">
        <v>2</v>
      </c>
      <c r="N6" s="12">
        <v>1</v>
      </c>
      <c r="O6" s="12">
        <v>170</v>
      </c>
      <c r="P6" s="12" t="s">
        <v>140</v>
      </c>
      <c r="Q6" s="12" t="s">
        <v>44</v>
      </c>
      <c r="R6" s="12">
        <v>170</v>
      </c>
      <c r="S6" s="12">
        <v>73</v>
      </c>
      <c r="T6" s="12">
        <v>217</v>
      </c>
      <c r="U6" s="12">
        <v>1</v>
      </c>
      <c r="V6" s="12" t="s">
        <v>115</v>
      </c>
      <c r="W6" s="12" t="s">
        <v>45</v>
      </c>
      <c r="X6" s="12" t="s">
        <v>45</v>
      </c>
      <c r="Y6" s="12" t="s">
        <v>73</v>
      </c>
      <c r="Z6" s="12" t="s">
        <v>181</v>
      </c>
      <c r="AA6" s="12">
        <v>9999</v>
      </c>
      <c r="AB6" s="12" t="s">
        <v>52</v>
      </c>
      <c r="AC6" s="12" t="s">
        <v>111</v>
      </c>
      <c r="AD6" s="12">
        <v>6</v>
      </c>
      <c r="AE6" s="12"/>
      <c r="AF6" s="12">
        <v>1</v>
      </c>
      <c r="AG6" s="12">
        <v>2</v>
      </c>
      <c r="AH6" s="12">
        <v>2</v>
      </c>
      <c r="AI6" s="12">
        <v>2</v>
      </c>
      <c r="AJ6" s="12">
        <v>2</v>
      </c>
      <c r="AK6" s="12">
        <v>2</v>
      </c>
      <c r="AL6" s="12" t="s">
        <v>45</v>
      </c>
      <c r="AM6" s="12">
        <v>2</v>
      </c>
      <c r="AN6" s="12">
        <v>2</v>
      </c>
      <c r="AO6" s="12">
        <v>2</v>
      </c>
      <c r="AP6" s="12">
        <v>2</v>
      </c>
      <c r="AQ6" s="12">
        <v>2</v>
      </c>
      <c r="AR6" s="12">
        <v>2</v>
      </c>
      <c r="AS6" s="12">
        <v>1</v>
      </c>
      <c r="AT6" s="12">
        <v>1</v>
      </c>
      <c r="AU6" s="12">
        <v>170</v>
      </c>
      <c r="AV6" s="12">
        <v>73</v>
      </c>
      <c r="AW6" s="13">
        <v>217</v>
      </c>
      <c r="AX6" s="13">
        <v>44278</v>
      </c>
      <c r="AY6" s="12">
        <v>44275</v>
      </c>
      <c r="AZ6" s="12">
        <v>2</v>
      </c>
      <c r="BA6" s="13">
        <v>1</v>
      </c>
      <c r="BB6" s="12">
        <v>44278</v>
      </c>
      <c r="BC6" s="12">
        <v>1</v>
      </c>
      <c r="BD6" s="12" t="s">
        <v>47</v>
      </c>
      <c r="BE6" s="12">
        <v>0</v>
      </c>
      <c r="BF6" s="13">
        <v>3175131088</v>
      </c>
      <c r="BG6" s="12">
        <v>43469</v>
      </c>
      <c r="BH6" s="12" t="s">
        <v>45</v>
      </c>
      <c r="BI6" s="12" t="s">
        <v>45</v>
      </c>
      <c r="BJ6" s="12" t="s">
        <v>45</v>
      </c>
      <c r="BK6" s="13"/>
      <c r="BL6" s="12">
        <v>44287</v>
      </c>
      <c r="BM6" s="12" t="s">
        <v>55</v>
      </c>
      <c r="BN6" s="13">
        <v>2739805</v>
      </c>
      <c r="BO6" s="12">
        <v>44284</v>
      </c>
      <c r="BP6" s="12">
        <v>8907068339</v>
      </c>
      <c r="BQ6" s="12" t="s">
        <v>45</v>
      </c>
      <c r="BR6" s="12" t="s">
        <v>45</v>
      </c>
      <c r="BS6" s="12" t="s">
        <v>45</v>
      </c>
      <c r="BT6" s="12" t="s">
        <v>167</v>
      </c>
      <c r="BU6" s="12">
        <v>1</v>
      </c>
      <c r="BV6" s="12">
        <v>44280</v>
      </c>
      <c r="BW6" s="12">
        <v>2</v>
      </c>
      <c r="BX6" s="12">
        <v>2</v>
      </c>
      <c r="BY6" s="12" t="s">
        <v>47</v>
      </c>
      <c r="BZ6" s="13">
        <v>1</v>
      </c>
      <c r="CA6" s="13">
        <v>44279</v>
      </c>
      <c r="CB6" s="13">
        <v>44279</v>
      </c>
      <c r="CC6" s="12" t="s">
        <v>45</v>
      </c>
      <c r="CD6" s="13" t="s">
        <v>47</v>
      </c>
      <c r="CE6" s="13" t="s">
        <v>47</v>
      </c>
      <c r="CF6" s="12" t="s">
        <v>45</v>
      </c>
      <c r="CG6" s="12" t="s">
        <v>45</v>
      </c>
      <c r="CH6" s="12" t="s">
        <v>45</v>
      </c>
      <c r="CI6" s="12" t="s">
        <v>45</v>
      </c>
      <c r="CJ6" s="12" t="s">
        <v>67</v>
      </c>
      <c r="CK6" s="12" t="s">
        <v>48</v>
      </c>
      <c r="CL6" s="12" t="s">
        <v>140</v>
      </c>
      <c r="CM6" s="12" t="s">
        <v>49</v>
      </c>
      <c r="CN6" s="12" t="s">
        <v>68</v>
      </c>
      <c r="CO6" s="12" t="s">
        <v>140</v>
      </c>
      <c r="CP6" s="12" t="s">
        <v>49</v>
      </c>
      <c r="CQ6" s="12" t="s">
        <v>68</v>
      </c>
      <c r="CR6" s="12" t="s">
        <v>49</v>
      </c>
      <c r="CS6" s="12" t="s">
        <v>50</v>
      </c>
      <c r="CT6" s="12">
        <v>30</v>
      </c>
      <c r="CU6" s="2">
        <f t="shared" si="1"/>
        <v>0</v>
      </c>
      <c r="CV6" s="2" t="str">
        <f t="shared" si="0"/>
        <v>ALTA</v>
      </c>
      <c r="CW6" s="2" t="e">
        <f t="shared" si="2"/>
        <v>#VALUE!</v>
      </c>
      <c r="CX6" s="2" t="str">
        <f t="shared" si="3"/>
        <v>-</v>
      </c>
    </row>
    <row r="7" spans="1:110" x14ac:dyDescent="0.25">
      <c r="A7" s="9">
        <v>115</v>
      </c>
      <c r="B7" s="10">
        <v>44250</v>
      </c>
      <c r="C7" s="9">
        <v>3</v>
      </c>
      <c r="D7" s="9">
        <v>2021</v>
      </c>
      <c r="E7" s="9">
        <v>7300101047</v>
      </c>
      <c r="F7" s="9">
        <v>1</v>
      </c>
      <c r="G7" s="9" t="s">
        <v>182</v>
      </c>
      <c r="H7" s="9" t="s">
        <v>78</v>
      </c>
      <c r="I7" s="9" t="s">
        <v>183</v>
      </c>
      <c r="J7" s="9" t="s">
        <v>149</v>
      </c>
      <c r="K7" s="9" t="s">
        <v>43</v>
      </c>
      <c r="L7" s="9">
        <v>1105468380</v>
      </c>
      <c r="M7" s="9">
        <v>12</v>
      </c>
      <c r="N7" s="9">
        <v>1</v>
      </c>
      <c r="O7" s="9">
        <v>170</v>
      </c>
      <c r="P7" s="9" t="s">
        <v>140</v>
      </c>
      <c r="Q7" s="9" t="s">
        <v>44</v>
      </c>
      <c r="R7" s="9">
        <v>170</v>
      </c>
      <c r="S7" s="9">
        <v>73</v>
      </c>
      <c r="T7" s="9">
        <v>1</v>
      </c>
      <c r="U7" s="9">
        <v>1</v>
      </c>
      <c r="V7" s="9" t="s">
        <v>115</v>
      </c>
      <c r="W7" s="9" t="s">
        <v>45</v>
      </c>
      <c r="X7" s="9" t="s">
        <v>45</v>
      </c>
      <c r="Y7" s="9" t="s">
        <v>73</v>
      </c>
      <c r="Z7" s="9" t="s">
        <v>184</v>
      </c>
      <c r="AA7" s="9">
        <v>9997</v>
      </c>
      <c r="AB7" s="9" t="s">
        <v>46</v>
      </c>
      <c r="AC7" s="9" t="s">
        <v>109</v>
      </c>
      <c r="AD7" s="9">
        <v>6</v>
      </c>
      <c r="AE7" s="9"/>
      <c r="AF7" s="9">
        <v>2</v>
      </c>
      <c r="AG7" s="9">
        <v>2</v>
      </c>
      <c r="AH7" s="9">
        <v>2</v>
      </c>
      <c r="AI7" s="9">
        <v>2</v>
      </c>
      <c r="AJ7" s="9">
        <v>2</v>
      </c>
      <c r="AK7" s="9">
        <v>2</v>
      </c>
      <c r="AL7" s="9" t="s">
        <v>45</v>
      </c>
      <c r="AM7" s="9">
        <v>2</v>
      </c>
      <c r="AN7" s="9">
        <v>2</v>
      </c>
      <c r="AO7" s="9">
        <v>2</v>
      </c>
      <c r="AP7" s="9">
        <v>2</v>
      </c>
      <c r="AQ7" s="9">
        <v>2</v>
      </c>
      <c r="AR7" s="9">
        <v>2</v>
      </c>
      <c r="AS7" s="9">
        <v>1</v>
      </c>
      <c r="AT7" s="9">
        <v>1</v>
      </c>
      <c r="AU7" s="9">
        <v>170</v>
      </c>
      <c r="AV7" s="9">
        <v>73</v>
      </c>
      <c r="AW7" s="9">
        <v>1</v>
      </c>
      <c r="AX7" s="10">
        <v>44218</v>
      </c>
      <c r="AY7" s="10">
        <v>44052</v>
      </c>
      <c r="AZ7" s="9">
        <v>3</v>
      </c>
      <c r="BA7" s="9">
        <v>1</v>
      </c>
      <c r="BB7" s="10">
        <v>44237</v>
      </c>
      <c r="BC7" s="9">
        <v>1</v>
      </c>
      <c r="BD7" s="9" t="s">
        <v>47</v>
      </c>
      <c r="BE7" s="9">
        <v>0</v>
      </c>
      <c r="BF7" s="9" t="s">
        <v>185</v>
      </c>
      <c r="BG7" s="10">
        <v>39715</v>
      </c>
      <c r="BH7" s="9" t="s">
        <v>45</v>
      </c>
      <c r="BI7" s="9" t="s">
        <v>45</v>
      </c>
      <c r="BJ7" s="9" t="s">
        <v>45</v>
      </c>
      <c r="BK7" s="9"/>
      <c r="BL7" s="10">
        <v>44259</v>
      </c>
      <c r="BM7" s="9" t="s">
        <v>55</v>
      </c>
      <c r="BN7" s="9">
        <v>2739805</v>
      </c>
      <c r="BO7" s="10">
        <v>44252</v>
      </c>
      <c r="BP7" s="9">
        <v>8907068339</v>
      </c>
      <c r="BQ7" s="9" t="s">
        <v>45</v>
      </c>
      <c r="BR7" s="9" t="s">
        <v>45</v>
      </c>
      <c r="BS7" s="9" t="s">
        <v>45</v>
      </c>
      <c r="BT7" s="9" t="s">
        <v>167</v>
      </c>
      <c r="BU7" s="9">
        <v>3</v>
      </c>
      <c r="BV7" s="10" t="s">
        <v>47</v>
      </c>
      <c r="BW7" s="9">
        <v>2</v>
      </c>
      <c r="BX7" s="9">
        <v>2</v>
      </c>
      <c r="BY7" s="9" t="s">
        <v>47</v>
      </c>
      <c r="BZ7" s="9">
        <v>4</v>
      </c>
      <c r="CA7" s="10">
        <v>44218</v>
      </c>
      <c r="CB7" s="10">
        <v>44220</v>
      </c>
      <c r="CC7" s="9">
        <v>2</v>
      </c>
      <c r="CD7" s="10">
        <v>44218</v>
      </c>
      <c r="CE7" s="10">
        <v>44236</v>
      </c>
      <c r="CF7" s="9" t="s">
        <v>45</v>
      </c>
      <c r="CG7" s="9" t="s">
        <v>45</v>
      </c>
      <c r="CH7" s="9" t="s">
        <v>45</v>
      </c>
      <c r="CI7" s="9" t="s">
        <v>45</v>
      </c>
      <c r="CJ7" s="9" t="s">
        <v>67</v>
      </c>
      <c r="CK7" s="9" t="s">
        <v>48</v>
      </c>
      <c r="CL7" s="9" t="s">
        <v>140</v>
      </c>
      <c r="CM7" s="9" t="s">
        <v>49</v>
      </c>
      <c r="CN7" s="9" t="s">
        <v>50</v>
      </c>
      <c r="CO7" s="9" t="s">
        <v>140</v>
      </c>
      <c r="CP7" s="9" t="s">
        <v>49</v>
      </c>
      <c r="CQ7" s="9" t="s">
        <v>50</v>
      </c>
      <c r="CR7" s="9" t="s">
        <v>49</v>
      </c>
      <c r="CS7" s="9" t="s">
        <v>50</v>
      </c>
      <c r="CT7" s="9">
        <v>6</v>
      </c>
      <c r="CU7" s="2">
        <f t="shared" si="1"/>
        <v>2</v>
      </c>
      <c r="CV7" s="2" t="str">
        <f t="shared" si="0"/>
        <v>ALTA</v>
      </c>
      <c r="CW7" s="2">
        <f t="shared" si="2"/>
        <v>18</v>
      </c>
      <c r="CX7" s="2" t="str">
        <f t="shared" si="3"/>
        <v>BAJA</v>
      </c>
      <c r="CY7" s="2"/>
      <c r="CZ7" s="2"/>
      <c r="DA7" s="2"/>
      <c r="DB7" s="2"/>
      <c r="DC7" s="2"/>
      <c r="DD7" s="2"/>
      <c r="DE7" s="2"/>
      <c r="DF7" s="2"/>
    </row>
    <row r="8" spans="1:110" x14ac:dyDescent="0.25">
      <c r="A8" s="9">
        <v>115</v>
      </c>
      <c r="B8" s="10">
        <v>44262</v>
      </c>
      <c r="C8" s="9">
        <v>8</v>
      </c>
      <c r="D8" s="9">
        <v>2021</v>
      </c>
      <c r="E8" s="9">
        <v>7300101047</v>
      </c>
      <c r="F8" s="9">
        <v>1</v>
      </c>
      <c r="G8" s="9" t="s">
        <v>186</v>
      </c>
      <c r="H8" s="9" t="s">
        <v>187</v>
      </c>
      <c r="I8" s="9" t="s">
        <v>150</v>
      </c>
      <c r="J8" s="9" t="s">
        <v>188</v>
      </c>
      <c r="K8" s="9" t="s">
        <v>43</v>
      </c>
      <c r="L8" s="9">
        <v>1105750294</v>
      </c>
      <c r="M8" s="9">
        <v>14</v>
      </c>
      <c r="N8" s="9">
        <v>1</v>
      </c>
      <c r="O8" s="9">
        <v>170</v>
      </c>
      <c r="P8" s="9" t="s">
        <v>140</v>
      </c>
      <c r="Q8" s="9" t="s">
        <v>53</v>
      </c>
      <c r="R8" s="9">
        <v>170</v>
      </c>
      <c r="S8" s="9">
        <v>73</v>
      </c>
      <c r="T8" s="9">
        <v>319</v>
      </c>
      <c r="U8" s="9">
        <v>1</v>
      </c>
      <c r="V8" s="9" t="s">
        <v>115</v>
      </c>
      <c r="W8" s="9" t="s">
        <v>45</v>
      </c>
      <c r="X8" s="9" t="s">
        <v>45</v>
      </c>
      <c r="Y8" s="9" t="s">
        <v>189</v>
      </c>
      <c r="Z8" s="9" t="s">
        <v>190</v>
      </c>
      <c r="AA8" s="9">
        <v>9997</v>
      </c>
      <c r="AB8" s="9" t="s">
        <v>52</v>
      </c>
      <c r="AC8" s="9" t="s">
        <v>126</v>
      </c>
      <c r="AD8" s="9">
        <v>6</v>
      </c>
      <c r="AE8" s="9"/>
      <c r="AF8" s="9">
        <v>2</v>
      </c>
      <c r="AG8" s="9">
        <v>2</v>
      </c>
      <c r="AH8" s="9">
        <v>2</v>
      </c>
      <c r="AI8" s="9">
        <v>2</v>
      </c>
      <c r="AJ8" s="9">
        <v>2</v>
      </c>
      <c r="AK8" s="9" t="s">
        <v>45</v>
      </c>
      <c r="AL8" s="9" t="s">
        <v>45</v>
      </c>
      <c r="AM8" s="9">
        <v>2</v>
      </c>
      <c r="AN8" s="9">
        <v>2</v>
      </c>
      <c r="AO8" s="9" t="s">
        <v>45</v>
      </c>
      <c r="AP8" s="9">
        <v>2</v>
      </c>
      <c r="AQ8" s="9">
        <v>2</v>
      </c>
      <c r="AR8" s="9">
        <v>2</v>
      </c>
      <c r="AS8" s="9">
        <v>1</v>
      </c>
      <c r="AT8" s="9">
        <v>1</v>
      </c>
      <c r="AU8" s="9">
        <v>170</v>
      </c>
      <c r="AV8" s="9">
        <v>73</v>
      </c>
      <c r="AW8" s="9">
        <v>319</v>
      </c>
      <c r="AX8" s="10">
        <v>44251</v>
      </c>
      <c r="AY8" s="10">
        <v>44211</v>
      </c>
      <c r="AZ8" s="9">
        <v>3</v>
      </c>
      <c r="BA8" s="9">
        <v>1</v>
      </c>
      <c r="BB8" s="10">
        <v>44251</v>
      </c>
      <c r="BC8" s="9">
        <v>1</v>
      </c>
      <c r="BD8" s="9" t="s">
        <v>47</v>
      </c>
      <c r="BE8" s="9">
        <v>0</v>
      </c>
      <c r="BF8" s="9">
        <v>3174199114</v>
      </c>
      <c r="BG8" s="10">
        <v>38899</v>
      </c>
      <c r="BH8" s="9" t="s">
        <v>45</v>
      </c>
      <c r="BI8" s="9" t="s">
        <v>45</v>
      </c>
      <c r="BJ8" s="9" t="s">
        <v>45</v>
      </c>
      <c r="BK8" s="9"/>
      <c r="BL8" s="10">
        <v>44273</v>
      </c>
      <c r="BM8" s="9" t="s">
        <v>191</v>
      </c>
      <c r="BN8" s="9">
        <v>2739805</v>
      </c>
      <c r="BO8" s="10">
        <v>44262</v>
      </c>
      <c r="BP8" s="9">
        <v>8907068339</v>
      </c>
      <c r="BQ8" s="9" t="s">
        <v>45</v>
      </c>
      <c r="BR8" s="9" t="s">
        <v>45</v>
      </c>
      <c r="BS8" s="9" t="s">
        <v>45</v>
      </c>
      <c r="BT8" s="9" t="s">
        <v>167</v>
      </c>
      <c r="BU8" s="9">
        <v>4</v>
      </c>
      <c r="BV8" s="10">
        <v>44260</v>
      </c>
      <c r="BW8" s="9">
        <v>2</v>
      </c>
      <c r="BX8" s="9">
        <v>2</v>
      </c>
      <c r="BY8" s="9" t="s">
        <v>47</v>
      </c>
      <c r="BZ8" s="9">
        <v>2</v>
      </c>
      <c r="CA8" s="10">
        <v>44255</v>
      </c>
      <c r="CB8" s="10">
        <v>44255</v>
      </c>
      <c r="CC8" s="9">
        <v>3</v>
      </c>
      <c r="CD8" s="10">
        <v>44258</v>
      </c>
      <c r="CE8" s="10">
        <v>44259</v>
      </c>
      <c r="CF8" s="9" t="s">
        <v>45</v>
      </c>
      <c r="CG8" s="9" t="s">
        <v>45</v>
      </c>
      <c r="CH8" s="9" t="s">
        <v>45</v>
      </c>
      <c r="CI8" s="9" t="s">
        <v>45</v>
      </c>
      <c r="CJ8" s="9" t="s">
        <v>67</v>
      </c>
      <c r="CK8" s="9" t="s">
        <v>48</v>
      </c>
      <c r="CL8" s="9" t="s">
        <v>140</v>
      </c>
      <c r="CM8" s="9" t="s">
        <v>49</v>
      </c>
      <c r="CN8" s="9" t="s">
        <v>54</v>
      </c>
      <c r="CO8" s="9" t="s">
        <v>140</v>
      </c>
      <c r="CP8" s="9" t="s">
        <v>49</v>
      </c>
      <c r="CQ8" s="9" t="s">
        <v>54</v>
      </c>
      <c r="CR8" s="9" t="s">
        <v>49</v>
      </c>
      <c r="CS8" s="9" t="s">
        <v>50</v>
      </c>
      <c r="CT8" s="9">
        <v>10</v>
      </c>
      <c r="CU8" s="2">
        <f t="shared" si="1"/>
        <v>0</v>
      </c>
      <c r="CV8" s="2" t="str">
        <f t="shared" si="0"/>
        <v>ALTA</v>
      </c>
      <c r="CW8" s="2">
        <f t="shared" si="2"/>
        <v>1</v>
      </c>
      <c r="CX8" s="2" t="str">
        <f t="shared" si="3"/>
        <v>ALTA</v>
      </c>
    </row>
    <row r="9" spans="1:110" s="2" customFormat="1" x14ac:dyDescent="0.25">
      <c r="A9" s="9">
        <v>115</v>
      </c>
      <c r="B9" s="10">
        <v>44242</v>
      </c>
      <c r="C9" s="9">
        <v>7</v>
      </c>
      <c r="D9" s="9">
        <v>2021</v>
      </c>
      <c r="E9" s="9">
        <v>1100105681</v>
      </c>
      <c r="F9" s="9">
        <v>1</v>
      </c>
      <c r="G9" s="9" t="s">
        <v>56</v>
      </c>
      <c r="H9" s="9" t="s">
        <v>192</v>
      </c>
      <c r="I9" s="9" t="s">
        <v>147</v>
      </c>
      <c r="J9" s="9" t="s">
        <v>193</v>
      </c>
      <c r="K9" s="9" t="s">
        <v>51</v>
      </c>
      <c r="L9" s="9">
        <v>1106952386</v>
      </c>
      <c r="M9" s="9">
        <v>1</v>
      </c>
      <c r="N9" s="9">
        <v>1</v>
      </c>
      <c r="O9" s="9">
        <v>170</v>
      </c>
      <c r="P9" s="9" t="s">
        <v>140</v>
      </c>
      <c r="Q9" s="9" t="s">
        <v>53</v>
      </c>
      <c r="R9" s="9">
        <v>170</v>
      </c>
      <c r="S9" s="9">
        <v>73</v>
      </c>
      <c r="T9" s="9">
        <v>520</v>
      </c>
      <c r="U9" s="9">
        <v>1</v>
      </c>
      <c r="V9" s="9" t="s">
        <v>194</v>
      </c>
      <c r="W9" s="9" t="s">
        <v>45</v>
      </c>
      <c r="X9" s="9" t="s">
        <v>45</v>
      </c>
      <c r="Y9" s="9" t="s">
        <v>73</v>
      </c>
      <c r="Z9" s="9" t="s">
        <v>57</v>
      </c>
      <c r="AA9" s="9">
        <v>9999</v>
      </c>
      <c r="AB9" s="9" t="s">
        <v>46</v>
      </c>
      <c r="AC9" s="9" t="s">
        <v>72</v>
      </c>
      <c r="AD9" s="9">
        <v>6</v>
      </c>
      <c r="AE9" s="9"/>
      <c r="AF9" s="9">
        <v>2</v>
      </c>
      <c r="AG9" s="9">
        <v>2</v>
      </c>
      <c r="AH9" s="9">
        <v>2</v>
      </c>
      <c r="AI9" s="9">
        <v>2</v>
      </c>
      <c r="AJ9" s="9">
        <v>2</v>
      </c>
      <c r="AK9" s="9" t="s">
        <v>45</v>
      </c>
      <c r="AL9" s="9" t="s">
        <v>45</v>
      </c>
      <c r="AM9" s="9">
        <v>2</v>
      </c>
      <c r="AN9" s="9">
        <v>2</v>
      </c>
      <c r="AO9" s="9" t="s">
        <v>45</v>
      </c>
      <c r="AP9" s="9">
        <v>2</v>
      </c>
      <c r="AQ9" s="9">
        <v>2</v>
      </c>
      <c r="AR9" s="9">
        <v>2</v>
      </c>
      <c r="AS9" s="9">
        <v>1</v>
      </c>
      <c r="AT9" s="9">
        <v>1</v>
      </c>
      <c r="AU9" s="9">
        <v>170</v>
      </c>
      <c r="AV9" s="9">
        <v>73</v>
      </c>
      <c r="AW9" s="9">
        <v>520</v>
      </c>
      <c r="AX9" s="10">
        <v>44242</v>
      </c>
      <c r="AY9" s="10">
        <v>44237</v>
      </c>
      <c r="AZ9" s="9">
        <v>3</v>
      </c>
      <c r="BA9" s="9">
        <v>1</v>
      </c>
      <c r="BB9" s="10">
        <v>44242</v>
      </c>
      <c r="BC9" s="9">
        <v>1</v>
      </c>
      <c r="BD9" s="9" t="s">
        <v>47</v>
      </c>
      <c r="BE9" s="9">
        <v>0</v>
      </c>
      <c r="BF9" s="9">
        <v>3153106073</v>
      </c>
      <c r="BG9" s="10">
        <v>43836</v>
      </c>
      <c r="BH9" s="9" t="s">
        <v>45</v>
      </c>
      <c r="BI9" s="9" t="s">
        <v>45</v>
      </c>
      <c r="BJ9" s="9" t="s">
        <v>45</v>
      </c>
      <c r="BK9" s="9"/>
      <c r="BL9" s="10">
        <v>44287</v>
      </c>
      <c r="BM9" s="9" t="s">
        <v>131</v>
      </c>
      <c r="BN9" s="9">
        <v>3811970</v>
      </c>
      <c r="BO9" s="10">
        <v>44273</v>
      </c>
      <c r="BP9" s="9"/>
      <c r="BQ9" s="9" t="s">
        <v>45</v>
      </c>
      <c r="BR9" s="9" t="s">
        <v>45</v>
      </c>
      <c r="BS9" s="9" t="s">
        <v>45</v>
      </c>
      <c r="BT9" s="9" t="s">
        <v>160</v>
      </c>
      <c r="BU9" s="9">
        <v>8</v>
      </c>
      <c r="BV9" s="9">
        <v>44252</v>
      </c>
      <c r="BW9" s="9">
        <v>2</v>
      </c>
      <c r="BX9" s="9">
        <v>2</v>
      </c>
      <c r="BY9" s="9" t="s">
        <v>47</v>
      </c>
      <c r="BZ9" s="9">
        <v>2</v>
      </c>
      <c r="CA9" s="10">
        <v>44243</v>
      </c>
      <c r="CB9" s="10">
        <v>44243</v>
      </c>
      <c r="CC9" s="9">
        <v>2</v>
      </c>
      <c r="CD9" s="10">
        <v>44251</v>
      </c>
      <c r="CE9" s="10">
        <v>44253</v>
      </c>
      <c r="CF9" s="9" t="s">
        <v>45</v>
      </c>
      <c r="CG9" s="9" t="s">
        <v>45</v>
      </c>
      <c r="CH9" s="9" t="s">
        <v>45</v>
      </c>
      <c r="CI9" s="9" t="s">
        <v>45</v>
      </c>
      <c r="CJ9" s="9" t="s">
        <v>67</v>
      </c>
      <c r="CK9" s="9"/>
      <c r="CL9" s="9" t="s">
        <v>140</v>
      </c>
      <c r="CM9" s="9" t="s">
        <v>49</v>
      </c>
      <c r="CN9" s="9" t="s">
        <v>194</v>
      </c>
      <c r="CO9" s="9" t="s">
        <v>140</v>
      </c>
      <c r="CP9" s="9" t="s">
        <v>49</v>
      </c>
      <c r="CQ9" s="9" t="s">
        <v>194</v>
      </c>
      <c r="CR9" s="9"/>
      <c r="CS9" s="9"/>
      <c r="CT9" s="9">
        <v>25</v>
      </c>
      <c r="CU9" s="2">
        <f t="shared" si="1"/>
        <v>0</v>
      </c>
      <c r="CV9" s="2" t="str">
        <f t="shared" si="0"/>
        <v>ALTA</v>
      </c>
      <c r="CW9" s="2">
        <f t="shared" si="2"/>
        <v>2</v>
      </c>
      <c r="CX9" s="2" t="str">
        <f t="shared" si="3"/>
        <v>ALTA</v>
      </c>
    </row>
    <row r="10" spans="1:110" x14ac:dyDescent="0.25">
      <c r="A10" s="9">
        <v>115</v>
      </c>
      <c r="B10" s="10">
        <v>44223</v>
      </c>
      <c r="C10" s="9">
        <v>3</v>
      </c>
      <c r="D10" s="9">
        <v>2021</v>
      </c>
      <c r="E10" s="9">
        <v>7300101047</v>
      </c>
      <c r="F10" s="9">
        <v>1</v>
      </c>
      <c r="G10" s="9" t="s">
        <v>117</v>
      </c>
      <c r="H10" s="9" t="s">
        <v>130</v>
      </c>
      <c r="I10" s="9" t="s">
        <v>195</v>
      </c>
      <c r="J10" s="9" t="s">
        <v>196</v>
      </c>
      <c r="K10" s="9" t="s">
        <v>43</v>
      </c>
      <c r="L10" s="9">
        <v>1107977114</v>
      </c>
      <c r="M10" s="9">
        <v>14</v>
      </c>
      <c r="N10" s="9">
        <v>1</v>
      </c>
      <c r="O10" s="9">
        <v>170</v>
      </c>
      <c r="P10" s="9" t="s">
        <v>140</v>
      </c>
      <c r="Q10" s="9" t="s">
        <v>53</v>
      </c>
      <c r="R10" s="9">
        <v>170</v>
      </c>
      <c r="S10" s="9">
        <v>73</v>
      </c>
      <c r="T10" s="9">
        <v>1</v>
      </c>
      <c r="U10" s="9">
        <v>1</v>
      </c>
      <c r="V10" s="9" t="s">
        <v>115</v>
      </c>
      <c r="W10" s="9" t="s">
        <v>45</v>
      </c>
      <c r="X10" s="9" t="s">
        <v>45</v>
      </c>
      <c r="Y10" s="9" t="s">
        <v>73</v>
      </c>
      <c r="Z10" s="9" t="s">
        <v>197</v>
      </c>
      <c r="AA10" s="9">
        <v>9999</v>
      </c>
      <c r="AB10" s="9" t="s">
        <v>52</v>
      </c>
      <c r="AC10" s="9" t="s">
        <v>111</v>
      </c>
      <c r="AD10" s="9">
        <v>6</v>
      </c>
      <c r="AE10" s="9"/>
      <c r="AF10" s="9">
        <v>2</v>
      </c>
      <c r="AG10" s="9">
        <v>2</v>
      </c>
      <c r="AH10" s="9">
        <v>2</v>
      </c>
      <c r="AI10" s="9">
        <v>2</v>
      </c>
      <c r="AJ10" s="9">
        <v>2</v>
      </c>
      <c r="AK10" s="9" t="s">
        <v>45</v>
      </c>
      <c r="AL10" s="9" t="s">
        <v>45</v>
      </c>
      <c r="AM10" s="9">
        <v>2</v>
      </c>
      <c r="AN10" s="9">
        <v>2</v>
      </c>
      <c r="AO10" s="9" t="s">
        <v>45</v>
      </c>
      <c r="AP10" s="9">
        <v>2</v>
      </c>
      <c r="AQ10" s="9">
        <v>2</v>
      </c>
      <c r="AR10" s="9">
        <v>2</v>
      </c>
      <c r="AS10" s="9">
        <v>1</v>
      </c>
      <c r="AT10" s="9">
        <v>1</v>
      </c>
      <c r="AU10" s="9">
        <v>170</v>
      </c>
      <c r="AV10" s="9">
        <v>73</v>
      </c>
      <c r="AW10" s="9">
        <v>1</v>
      </c>
      <c r="AX10" s="10">
        <v>44216</v>
      </c>
      <c r="AY10" s="10">
        <v>44155</v>
      </c>
      <c r="AZ10" s="9">
        <v>3</v>
      </c>
      <c r="BA10" s="9">
        <v>1</v>
      </c>
      <c r="BB10" s="10">
        <v>44216</v>
      </c>
      <c r="BC10" s="9">
        <v>1</v>
      </c>
      <c r="BD10" s="9" t="s">
        <v>47</v>
      </c>
      <c r="BE10" s="9">
        <v>0</v>
      </c>
      <c r="BF10" s="9" t="s">
        <v>198</v>
      </c>
      <c r="BG10" s="10">
        <v>38794</v>
      </c>
      <c r="BH10" s="9" t="s">
        <v>45</v>
      </c>
      <c r="BI10" s="9" t="s">
        <v>45</v>
      </c>
      <c r="BJ10" s="9" t="s">
        <v>45</v>
      </c>
      <c r="BK10" s="9"/>
      <c r="BL10" s="10">
        <v>44259</v>
      </c>
      <c r="BM10" s="9" t="s">
        <v>152</v>
      </c>
      <c r="BN10" s="9">
        <v>2739805</v>
      </c>
      <c r="BO10" s="10">
        <v>44224</v>
      </c>
      <c r="BP10" s="9">
        <v>8907068339</v>
      </c>
      <c r="BQ10" s="9" t="s">
        <v>45</v>
      </c>
      <c r="BR10" s="9" t="s">
        <v>45</v>
      </c>
      <c r="BS10" s="9" t="s">
        <v>45</v>
      </c>
      <c r="BT10" s="9" t="s">
        <v>167</v>
      </c>
      <c r="BU10" s="9">
        <v>1</v>
      </c>
      <c r="BV10" s="9" t="s">
        <v>47</v>
      </c>
      <c r="BW10" s="9">
        <v>2</v>
      </c>
      <c r="BX10" s="9">
        <v>2</v>
      </c>
      <c r="BY10" s="9" t="s">
        <v>47</v>
      </c>
      <c r="BZ10" s="9">
        <v>1</v>
      </c>
      <c r="CA10" s="10">
        <v>44216</v>
      </c>
      <c r="CB10" s="10">
        <v>44217</v>
      </c>
      <c r="CC10" s="9">
        <v>1</v>
      </c>
      <c r="CD10" s="10">
        <v>44221</v>
      </c>
      <c r="CE10" s="10">
        <v>44221</v>
      </c>
      <c r="CF10" s="9" t="s">
        <v>45</v>
      </c>
      <c r="CG10" s="9" t="s">
        <v>45</v>
      </c>
      <c r="CH10" s="9" t="s">
        <v>45</v>
      </c>
      <c r="CI10" s="9" t="s">
        <v>45</v>
      </c>
      <c r="CJ10" s="9" t="s">
        <v>67</v>
      </c>
      <c r="CK10" s="9" t="s">
        <v>48</v>
      </c>
      <c r="CL10" s="9" t="s">
        <v>140</v>
      </c>
      <c r="CM10" s="9" t="s">
        <v>49</v>
      </c>
      <c r="CN10" s="9" t="s">
        <v>50</v>
      </c>
      <c r="CO10" s="9" t="s">
        <v>140</v>
      </c>
      <c r="CP10" s="9" t="s">
        <v>49</v>
      </c>
      <c r="CQ10" s="9" t="s">
        <v>50</v>
      </c>
      <c r="CR10" s="9" t="s">
        <v>49</v>
      </c>
      <c r="CS10" s="9" t="s">
        <v>50</v>
      </c>
      <c r="CT10" s="9">
        <v>1</v>
      </c>
      <c r="CU10" s="2">
        <f t="shared" si="1"/>
        <v>1</v>
      </c>
      <c r="CV10" s="2" t="str">
        <f t="shared" si="0"/>
        <v>ALTA</v>
      </c>
      <c r="CW10" s="2">
        <f t="shared" si="2"/>
        <v>0</v>
      </c>
      <c r="CX10" s="2" t="str">
        <f t="shared" si="3"/>
        <v>ALTA</v>
      </c>
    </row>
    <row r="11" spans="1:110" x14ac:dyDescent="0.25">
      <c r="A11" s="9">
        <v>115</v>
      </c>
      <c r="B11" s="10">
        <v>44268</v>
      </c>
      <c r="C11" s="9">
        <v>10</v>
      </c>
      <c r="D11" s="9">
        <v>2021</v>
      </c>
      <c r="E11" s="9">
        <v>7300101047</v>
      </c>
      <c r="F11" s="9">
        <v>1</v>
      </c>
      <c r="G11" s="9" t="s">
        <v>199</v>
      </c>
      <c r="H11" s="9" t="s">
        <v>200</v>
      </c>
      <c r="I11" s="9" t="s">
        <v>201</v>
      </c>
      <c r="J11" s="9" t="s">
        <v>202</v>
      </c>
      <c r="K11" s="9" t="s">
        <v>51</v>
      </c>
      <c r="L11" s="9">
        <v>1109421451</v>
      </c>
      <c r="M11" s="9">
        <v>4</v>
      </c>
      <c r="N11" s="9">
        <v>1</v>
      </c>
      <c r="O11" s="9">
        <v>170</v>
      </c>
      <c r="P11" s="9" t="s">
        <v>140</v>
      </c>
      <c r="Q11" s="9" t="s">
        <v>44</v>
      </c>
      <c r="R11" s="9">
        <v>170</v>
      </c>
      <c r="S11" s="9">
        <v>73</v>
      </c>
      <c r="T11" s="9">
        <v>555</v>
      </c>
      <c r="U11" s="9">
        <v>3</v>
      </c>
      <c r="V11" s="9" t="s">
        <v>45</v>
      </c>
      <c r="W11" s="9" t="s">
        <v>45</v>
      </c>
      <c r="X11" s="9" t="s">
        <v>203</v>
      </c>
      <c r="Y11" s="9" t="s">
        <v>45</v>
      </c>
      <c r="Z11" s="9" t="s">
        <v>203</v>
      </c>
      <c r="AA11" s="9">
        <v>9999</v>
      </c>
      <c r="AB11" s="9" t="s">
        <v>52</v>
      </c>
      <c r="AC11" s="9" t="s">
        <v>112</v>
      </c>
      <c r="AD11" s="9">
        <v>6</v>
      </c>
      <c r="AE11" s="9"/>
      <c r="AF11" s="9">
        <v>1</v>
      </c>
      <c r="AG11" s="9">
        <v>2</v>
      </c>
      <c r="AH11" s="9">
        <v>2</v>
      </c>
      <c r="AI11" s="9">
        <v>2</v>
      </c>
      <c r="AJ11" s="9">
        <v>2</v>
      </c>
      <c r="AK11" s="9">
        <v>2</v>
      </c>
      <c r="AL11" s="9" t="s">
        <v>45</v>
      </c>
      <c r="AM11" s="9">
        <v>2</v>
      </c>
      <c r="AN11" s="9">
        <v>2</v>
      </c>
      <c r="AO11" s="9">
        <v>2</v>
      </c>
      <c r="AP11" s="9">
        <v>2</v>
      </c>
      <c r="AQ11" s="9">
        <v>2</v>
      </c>
      <c r="AR11" s="9">
        <v>2</v>
      </c>
      <c r="AS11" s="9">
        <v>1</v>
      </c>
      <c r="AT11" s="9">
        <v>1</v>
      </c>
      <c r="AU11" s="9">
        <v>170</v>
      </c>
      <c r="AV11" s="9">
        <v>73</v>
      </c>
      <c r="AW11" s="9">
        <v>555</v>
      </c>
      <c r="AX11" s="10">
        <v>44264</v>
      </c>
      <c r="AY11" s="10">
        <v>44236</v>
      </c>
      <c r="AZ11" s="9">
        <v>2</v>
      </c>
      <c r="BA11" s="9">
        <v>1</v>
      </c>
      <c r="BB11" s="10">
        <v>44264</v>
      </c>
      <c r="BC11" s="9">
        <v>1</v>
      </c>
      <c r="BD11" s="9" t="s">
        <v>47</v>
      </c>
      <c r="BE11" s="9">
        <v>0</v>
      </c>
      <c r="BF11" s="9" t="s">
        <v>204</v>
      </c>
      <c r="BG11" s="10">
        <v>42465</v>
      </c>
      <c r="BH11" s="9" t="s">
        <v>45</v>
      </c>
      <c r="BI11" s="9" t="s">
        <v>45</v>
      </c>
      <c r="BJ11" s="9" t="s">
        <v>45</v>
      </c>
      <c r="BK11" s="9"/>
      <c r="BL11" s="10">
        <v>44273</v>
      </c>
      <c r="BM11" s="9" t="s">
        <v>205</v>
      </c>
      <c r="BN11" s="9">
        <v>2739805</v>
      </c>
      <c r="BO11" s="10">
        <v>44269</v>
      </c>
      <c r="BP11" s="9">
        <v>8907068339</v>
      </c>
      <c r="BQ11" s="9" t="s">
        <v>45</v>
      </c>
      <c r="BR11" s="9" t="s">
        <v>45</v>
      </c>
      <c r="BS11" s="9" t="s">
        <v>45</v>
      </c>
      <c r="BT11" s="9" t="s">
        <v>167</v>
      </c>
      <c r="BU11" s="9">
        <v>11</v>
      </c>
      <c r="BV11" s="10" t="s">
        <v>47</v>
      </c>
      <c r="BW11" s="9">
        <v>2</v>
      </c>
      <c r="BX11" s="9">
        <v>2</v>
      </c>
      <c r="BY11" s="9" t="s">
        <v>47</v>
      </c>
      <c r="BZ11" s="9">
        <v>2</v>
      </c>
      <c r="CA11" s="10">
        <v>44266</v>
      </c>
      <c r="CB11" s="10">
        <v>44267</v>
      </c>
      <c r="CC11" s="9" t="s">
        <v>45</v>
      </c>
      <c r="CD11" s="10" t="s">
        <v>47</v>
      </c>
      <c r="CE11" s="10" t="s">
        <v>47</v>
      </c>
      <c r="CF11" s="9" t="s">
        <v>45</v>
      </c>
      <c r="CG11" s="9" t="s">
        <v>45</v>
      </c>
      <c r="CH11" s="9" t="s">
        <v>45</v>
      </c>
      <c r="CI11" s="9" t="s">
        <v>45</v>
      </c>
      <c r="CJ11" s="9" t="s">
        <v>67</v>
      </c>
      <c r="CK11" s="9" t="s">
        <v>48</v>
      </c>
      <c r="CL11" s="9" t="s">
        <v>140</v>
      </c>
      <c r="CM11" s="9" t="s">
        <v>49</v>
      </c>
      <c r="CN11" s="9" t="s">
        <v>69</v>
      </c>
      <c r="CO11" s="9" t="s">
        <v>140</v>
      </c>
      <c r="CP11" s="9" t="s">
        <v>49</v>
      </c>
      <c r="CQ11" s="9" t="s">
        <v>69</v>
      </c>
      <c r="CR11" s="9" t="s">
        <v>49</v>
      </c>
      <c r="CS11" s="9" t="s">
        <v>50</v>
      </c>
      <c r="CT11" s="9">
        <v>17</v>
      </c>
      <c r="CU11" s="2">
        <f t="shared" si="1"/>
        <v>1</v>
      </c>
      <c r="CV11" s="2" t="str">
        <f t="shared" si="0"/>
        <v>ALTA</v>
      </c>
      <c r="CW11" s="2" t="e">
        <f t="shared" si="2"/>
        <v>#VALUE!</v>
      </c>
      <c r="CX11" s="2" t="str">
        <f t="shared" si="3"/>
        <v>-</v>
      </c>
    </row>
    <row r="12" spans="1:110" x14ac:dyDescent="0.25">
      <c r="A12" s="9">
        <v>115</v>
      </c>
      <c r="B12" s="9">
        <v>44250</v>
      </c>
      <c r="C12" s="9">
        <v>6</v>
      </c>
      <c r="D12" s="9">
        <v>2021</v>
      </c>
      <c r="E12" s="9">
        <v>7300101047</v>
      </c>
      <c r="F12" s="9">
        <v>1</v>
      </c>
      <c r="G12" s="9" t="s">
        <v>206</v>
      </c>
      <c r="H12" s="9" t="s">
        <v>207</v>
      </c>
      <c r="I12" s="9" t="s">
        <v>208</v>
      </c>
      <c r="J12" s="9" t="s">
        <v>209</v>
      </c>
      <c r="K12" s="9" t="s">
        <v>43</v>
      </c>
      <c r="L12" s="9">
        <v>1110060389</v>
      </c>
      <c r="M12" s="9">
        <v>15</v>
      </c>
      <c r="N12" s="9">
        <v>1</v>
      </c>
      <c r="O12" s="9">
        <v>170</v>
      </c>
      <c r="P12" s="9" t="s">
        <v>140</v>
      </c>
      <c r="Q12" s="9" t="s">
        <v>44</v>
      </c>
      <c r="R12" s="9">
        <v>170</v>
      </c>
      <c r="S12" s="9">
        <v>73</v>
      </c>
      <c r="T12" s="9">
        <v>443</v>
      </c>
      <c r="U12" s="9">
        <v>1</v>
      </c>
      <c r="V12" s="9" t="s">
        <v>115</v>
      </c>
      <c r="W12" s="9" t="s">
        <v>45</v>
      </c>
      <c r="X12" s="9" t="s">
        <v>45</v>
      </c>
      <c r="Y12" s="9" t="s">
        <v>73</v>
      </c>
      <c r="Z12" s="9" t="s">
        <v>210</v>
      </c>
      <c r="AA12" s="9">
        <v>9997</v>
      </c>
      <c r="AB12" s="9" t="s">
        <v>52</v>
      </c>
      <c r="AC12" s="9" t="s">
        <v>110</v>
      </c>
      <c r="AD12" s="9">
        <v>6</v>
      </c>
      <c r="AE12" s="9"/>
      <c r="AF12" s="9">
        <v>1</v>
      </c>
      <c r="AG12" s="9">
        <v>2</v>
      </c>
      <c r="AH12" s="9">
        <v>2</v>
      </c>
      <c r="AI12" s="9">
        <v>2</v>
      </c>
      <c r="AJ12" s="9">
        <v>2</v>
      </c>
      <c r="AK12" s="9">
        <v>2</v>
      </c>
      <c r="AL12" s="9" t="s">
        <v>45</v>
      </c>
      <c r="AM12" s="9">
        <v>2</v>
      </c>
      <c r="AN12" s="9">
        <v>2</v>
      </c>
      <c r="AO12" s="9">
        <v>2</v>
      </c>
      <c r="AP12" s="9">
        <v>2</v>
      </c>
      <c r="AQ12" s="9">
        <v>2</v>
      </c>
      <c r="AR12" s="9">
        <v>2</v>
      </c>
      <c r="AS12" s="9">
        <v>1</v>
      </c>
      <c r="AT12" s="9">
        <v>1</v>
      </c>
      <c r="AU12" s="9">
        <v>170</v>
      </c>
      <c r="AV12" s="9">
        <v>73</v>
      </c>
      <c r="AW12" s="9">
        <v>443</v>
      </c>
      <c r="AX12" s="9">
        <v>44236</v>
      </c>
      <c r="AY12" s="9">
        <v>44011</v>
      </c>
      <c r="AZ12" s="9">
        <v>3</v>
      </c>
      <c r="BA12" s="9">
        <v>1</v>
      </c>
      <c r="BB12" s="9">
        <v>44236</v>
      </c>
      <c r="BC12" s="9">
        <v>1</v>
      </c>
      <c r="BD12" s="9" t="s">
        <v>47</v>
      </c>
      <c r="BE12" s="9">
        <v>0</v>
      </c>
      <c r="BF12" s="9">
        <v>3115558696</v>
      </c>
      <c r="BG12" s="9">
        <v>38416</v>
      </c>
      <c r="BH12" s="9" t="s">
        <v>45</v>
      </c>
      <c r="BI12" s="9" t="s">
        <v>45</v>
      </c>
      <c r="BJ12" s="9" t="s">
        <v>45</v>
      </c>
      <c r="BK12" s="9"/>
      <c r="BL12" s="9">
        <v>44259</v>
      </c>
      <c r="BM12" s="9" t="s">
        <v>55</v>
      </c>
      <c r="BN12" s="9">
        <v>2739805</v>
      </c>
      <c r="BO12" s="9">
        <v>44252</v>
      </c>
      <c r="BP12" s="9">
        <v>8907068339</v>
      </c>
      <c r="BQ12" s="9" t="s">
        <v>45</v>
      </c>
      <c r="BR12" s="9" t="s">
        <v>45</v>
      </c>
      <c r="BS12" s="9" t="s">
        <v>45</v>
      </c>
      <c r="BT12" s="9" t="s">
        <v>167</v>
      </c>
      <c r="BU12" s="9">
        <v>12</v>
      </c>
      <c r="BV12" s="9">
        <v>44236</v>
      </c>
      <c r="BW12" s="9">
        <v>2</v>
      </c>
      <c r="BX12" s="9">
        <v>2</v>
      </c>
      <c r="BY12" s="9" t="s">
        <v>47</v>
      </c>
      <c r="BZ12" s="9">
        <v>4</v>
      </c>
      <c r="CA12" s="10">
        <v>44236</v>
      </c>
      <c r="CB12" s="10">
        <v>44236</v>
      </c>
      <c r="CC12" s="9">
        <v>3</v>
      </c>
      <c r="CD12" s="10">
        <v>44237</v>
      </c>
      <c r="CE12" s="10">
        <v>44250</v>
      </c>
      <c r="CF12" s="9" t="s">
        <v>45</v>
      </c>
      <c r="CG12" s="9" t="s">
        <v>45</v>
      </c>
      <c r="CH12" s="9" t="s">
        <v>45</v>
      </c>
      <c r="CI12" s="9" t="s">
        <v>45</v>
      </c>
      <c r="CJ12" s="9" t="s">
        <v>67</v>
      </c>
      <c r="CK12" s="9" t="s">
        <v>48</v>
      </c>
      <c r="CL12" s="9" t="s">
        <v>140</v>
      </c>
      <c r="CM12" s="9" t="s">
        <v>49</v>
      </c>
      <c r="CN12" s="9" t="s">
        <v>113</v>
      </c>
      <c r="CO12" s="9" t="s">
        <v>140</v>
      </c>
      <c r="CP12" s="9" t="s">
        <v>49</v>
      </c>
      <c r="CQ12" s="9" t="s">
        <v>113</v>
      </c>
      <c r="CR12" s="9" t="s">
        <v>49</v>
      </c>
      <c r="CS12" s="9" t="s">
        <v>50</v>
      </c>
      <c r="CT12" s="9">
        <v>5</v>
      </c>
      <c r="CU12" s="2">
        <f t="shared" si="1"/>
        <v>0</v>
      </c>
      <c r="CV12" s="2" t="str">
        <f t="shared" si="0"/>
        <v>ALTA</v>
      </c>
      <c r="CW12" s="2">
        <f t="shared" si="2"/>
        <v>13</v>
      </c>
      <c r="CX12" s="2" t="str">
        <f t="shared" si="3"/>
        <v>MEDIA</v>
      </c>
    </row>
    <row r="13" spans="1:110" x14ac:dyDescent="0.25">
      <c r="A13" s="9">
        <v>115</v>
      </c>
      <c r="B13" s="10">
        <v>44230</v>
      </c>
      <c r="C13" s="9">
        <v>4</v>
      </c>
      <c r="D13" s="9">
        <v>2021</v>
      </c>
      <c r="E13" s="9">
        <v>7300101047</v>
      </c>
      <c r="F13" s="9">
        <v>1</v>
      </c>
      <c r="G13" s="9" t="s">
        <v>211</v>
      </c>
      <c r="H13" s="9" t="s">
        <v>66</v>
      </c>
      <c r="I13" s="9" t="s">
        <v>148</v>
      </c>
      <c r="J13" s="9" t="s">
        <v>202</v>
      </c>
      <c r="K13" s="9" t="s">
        <v>51</v>
      </c>
      <c r="L13" s="9">
        <v>1110598936</v>
      </c>
      <c r="M13" s="9">
        <v>3</v>
      </c>
      <c r="N13" s="9">
        <v>1</v>
      </c>
      <c r="O13" s="9">
        <v>170</v>
      </c>
      <c r="P13" s="9" t="s">
        <v>140</v>
      </c>
      <c r="Q13" s="9" t="s">
        <v>53</v>
      </c>
      <c r="R13" s="9">
        <v>170</v>
      </c>
      <c r="S13" s="9">
        <v>73</v>
      </c>
      <c r="T13" s="9">
        <v>1</v>
      </c>
      <c r="U13" s="9">
        <v>1</v>
      </c>
      <c r="V13" s="9" t="s">
        <v>115</v>
      </c>
      <c r="W13" s="9" t="s">
        <v>45</v>
      </c>
      <c r="X13" s="9" t="s">
        <v>45</v>
      </c>
      <c r="Y13" s="9" t="s">
        <v>73</v>
      </c>
      <c r="Z13" s="9" t="s">
        <v>212</v>
      </c>
      <c r="AA13" s="9">
        <v>9999</v>
      </c>
      <c r="AB13" s="9" t="s">
        <v>52</v>
      </c>
      <c r="AC13" s="9" t="s">
        <v>126</v>
      </c>
      <c r="AD13" s="9">
        <v>6</v>
      </c>
      <c r="AE13" s="9"/>
      <c r="AF13" s="9">
        <v>2</v>
      </c>
      <c r="AG13" s="9">
        <v>2</v>
      </c>
      <c r="AH13" s="9">
        <v>2</v>
      </c>
      <c r="AI13" s="9">
        <v>2</v>
      </c>
      <c r="AJ13" s="9">
        <v>2</v>
      </c>
      <c r="AK13" s="9" t="s">
        <v>45</v>
      </c>
      <c r="AL13" s="9" t="s">
        <v>45</v>
      </c>
      <c r="AM13" s="9">
        <v>2</v>
      </c>
      <c r="AN13" s="9">
        <v>2</v>
      </c>
      <c r="AO13" s="9" t="s">
        <v>45</v>
      </c>
      <c r="AP13" s="9">
        <v>2</v>
      </c>
      <c r="AQ13" s="9">
        <v>2</v>
      </c>
      <c r="AR13" s="9">
        <v>2</v>
      </c>
      <c r="AS13" s="9">
        <v>1</v>
      </c>
      <c r="AT13" s="9">
        <v>1</v>
      </c>
      <c r="AU13" s="9">
        <v>170</v>
      </c>
      <c r="AV13" s="9">
        <v>73</v>
      </c>
      <c r="AW13" s="9">
        <v>1</v>
      </c>
      <c r="AX13" s="10">
        <v>44220</v>
      </c>
      <c r="AY13" s="10">
        <v>44189</v>
      </c>
      <c r="AZ13" s="9">
        <v>2</v>
      </c>
      <c r="BA13" s="9">
        <v>1</v>
      </c>
      <c r="BB13" s="10">
        <v>44220</v>
      </c>
      <c r="BC13" s="9">
        <v>1</v>
      </c>
      <c r="BD13" s="9" t="s">
        <v>47</v>
      </c>
      <c r="BE13" s="9">
        <v>0</v>
      </c>
      <c r="BF13" s="9" t="s">
        <v>213</v>
      </c>
      <c r="BG13" s="10">
        <v>42910</v>
      </c>
      <c r="BH13" s="9" t="s">
        <v>45</v>
      </c>
      <c r="BI13" s="9" t="s">
        <v>45</v>
      </c>
      <c r="BJ13" s="9" t="s">
        <v>45</v>
      </c>
      <c r="BK13" s="9"/>
      <c r="BL13" s="10">
        <v>44259</v>
      </c>
      <c r="BM13" s="9" t="s">
        <v>152</v>
      </c>
      <c r="BN13" s="9">
        <v>2739805</v>
      </c>
      <c r="BO13" s="10">
        <v>44233</v>
      </c>
      <c r="BP13" s="9">
        <v>8907068339</v>
      </c>
      <c r="BQ13" s="9" t="s">
        <v>45</v>
      </c>
      <c r="BR13" s="9" t="s">
        <v>45</v>
      </c>
      <c r="BS13" s="9" t="s">
        <v>45</v>
      </c>
      <c r="BT13" s="9" t="s">
        <v>167</v>
      </c>
      <c r="BU13" s="9">
        <v>6</v>
      </c>
      <c r="BV13" s="10" t="s">
        <v>47</v>
      </c>
      <c r="BW13" s="9">
        <v>2</v>
      </c>
      <c r="BX13" s="9">
        <v>2</v>
      </c>
      <c r="BY13" s="9" t="s">
        <v>47</v>
      </c>
      <c r="BZ13" s="9">
        <v>2</v>
      </c>
      <c r="CA13" s="10">
        <v>44222</v>
      </c>
      <c r="CB13" s="10">
        <v>44223</v>
      </c>
      <c r="CC13" s="9" t="s">
        <v>45</v>
      </c>
      <c r="CD13" s="10" t="s">
        <v>47</v>
      </c>
      <c r="CE13" s="10" t="s">
        <v>47</v>
      </c>
      <c r="CF13" s="9" t="s">
        <v>45</v>
      </c>
      <c r="CG13" s="9" t="s">
        <v>45</v>
      </c>
      <c r="CH13" s="9" t="s">
        <v>45</v>
      </c>
      <c r="CI13" s="9" t="s">
        <v>45</v>
      </c>
      <c r="CJ13" s="9" t="s">
        <v>67</v>
      </c>
      <c r="CK13" s="9" t="s">
        <v>48</v>
      </c>
      <c r="CL13" s="9" t="s">
        <v>140</v>
      </c>
      <c r="CM13" s="9" t="s">
        <v>49</v>
      </c>
      <c r="CN13" s="9" t="s">
        <v>50</v>
      </c>
      <c r="CO13" s="9" t="s">
        <v>140</v>
      </c>
      <c r="CP13" s="9" t="s">
        <v>49</v>
      </c>
      <c r="CQ13" s="9" t="s">
        <v>50</v>
      </c>
      <c r="CR13" s="9" t="s">
        <v>49</v>
      </c>
      <c r="CS13" s="9" t="s">
        <v>50</v>
      </c>
      <c r="CT13" s="9">
        <v>2</v>
      </c>
      <c r="CU13" s="2">
        <f t="shared" si="1"/>
        <v>1</v>
      </c>
      <c r="CV13" s="2" t="str">
        <f t="shared" si="0"/>
        <v>ALTA</v>
      </c>
      <c r="CW13" s="2" t="e">
        <f t="shared" si="2"/>
        <v>#VALUE!</v>
      </c>
      <c r="CX13" s="2" t="str">
        <f t="shared" si="3"/>
        <v>-</v>
      </c>
    </row>
    <row r="14" spans="1:110" x14ac:dyDescent="0.25">
      <c r="A14" s="9">
        <v>115</v>
      </c>
      <c r="B14" s="10">
        <v>44275</v>
      </c>
      <c r="C14" s="9">
        <v>7</v>
      </c>
      <c r="D14" s="9">
        <v>2021</v>
      </c>
      <c r="E14" s="9">
        <v>7300101047</v>
      </c>
      <c r="F14" s="9">
        <v>1</v>
      </c>
      <c r="G14" s="9" t="s">
        <v>151</v>
      </c>
      <c r="H14" s="9" t="s">
        <v>114</v>
      </c>
      <c r="I14" s="9" t="s">
        <v>214</v>
      </c>
      <c r="J14" s="9" t="s">
        <v>70</v>
      </c>
      <c r="K14" s="9" t="s">
        <v>51</v>
      </c>
      <c r="L14" s="9">
        <v>1110603437</v>
      </c>
      <c r="M14" s="9">
        <v>2</v>
      </c>
      <c r="N14" s="9">
        <v>1</v>
      </c>
      <c r="O14" s="9">
        <v>170</v>
      </c>
      <c r="P14" s="9" t="s">
        <v>140</v>
      </c>
      <c r="Q14" s="9" t="s">
        <v>53</v>
      </c>
      <c r="R14" s="9">
        <v>170</v>
      </c>
      <c r="S14" s="9">
        <v>73</v>
      </c>
      <c r="T14" s="9">
        <v>1</v>
      </c>
      <c r="U14" s="9">
        <v>1</v>
      </c>
      <c r="V14" s="9" t="s">
        <v>115</v>
      </c>
      <c r="W14" s="9" t="s">
        <v>45</v>
      </c>
      <c r="X14" s="9" t="s">
        <v>45</v>
      </c>
      <c r="Y14" s="9" t="s">
        <v>73</v>
      </c>
      <c r="Z14" s="9" t="s">
        <v>215</v>
      </c>
      <c r="AA14" s="9">
        <v>9999</v>
      </c>
      <c r="AB14" s="9" t="s">
        <v>46</v>
      </c>
      <c r="AC14" s="9" t="s">
        <v>109</v>
      </c>
      <c r="AD14" s="9">
        <v>6</v>
      </c>
      <c r="AE14" s="9"/>
      <c r="AF14" s="9">
        <v>3</v>
      </c>
      <c r="AG14" s="9">
        <v>2</v>
      </c>
      <c r="AH14" s="9">
        <v>2</v>
      </c>
      <c r="AI14" s="9">
        <v>2</v>
      </c>
      <c r="AJ14" s="9">
        <v>2</v>
      </c>
      <c r="AK14" s="9" t="s">
        <v>45</v>
      </c>
      <c r="AL14" s="9" t="s">
        <v>45</v>
      </c>
      <c r="AM14" s="9">
        <v>2</v>
      </c>
      <c r="AN14" s="9">
        <v>2</v>
      </c>
      <c r="AO14" s="9" t="s">
        <v>45</v>
      </c>
      <c r="AP14" s="9">
        <v>2</v>
      </c>
      <c r="AQ14" s="9">
        <v>2</v>
      </c>
      <c r="AR14" s="9">
        <v>2</v>
      </c>
      <c r="AS14" s="9">
        <v>1</v>
      </c>
      <c r="AT14" s="9">
        <v>1</v>
      </c>
      <c r="AU14" s="9">
        <v>170</v>
      </c>
      <c r="AV14" s="9">
        <v>73</v>
      </c>
      <c r="AW14" s="9">
        <v>1</v>
      </c>
      <c r="AX14" s="10">
        <v>44243</v>
      </c>
      <c r="AY14" s="10">
        <v>44240</v>
      </c>
      <c r="AZ14" s="9">
        <v>3</v>
      </c>
      <c r="BA14" s="9">
        <v>1</v>
      </c>
      <c r="BB14" s="10">
        <v>44275</v>
      </c>
      <c r="BC14" s="9">
        <v>1</v>
      </c>
      <c r="BD14" s="10" t="s">
        <v>47</v>
      </c>
      <c r="BE14" s="9">
        <v>0</v>
      </c>
      <c r="BF14" s="9">
        <v>3166346542</v>
      </c>
      <c r="BG14" s="10">
        <v>43214</v>
      </c>
      <c r="BH14" s="9" t="s">
        <v>45</v>
      </c>
      <c r="BI14" s="9" t="s">
        <v>45</v>
      </c>
      <c r="BJ14" s="9" t="s">
        <v>45</v>
      </c>
      <c r="BK14" s="9"/>
      <c r="BL14" s="10">
        <v>44287</v>
      </c>
      <c r="BM14" s="9" t="s">
        <v>216</v>
      </c>
      <c r="BN14" s="9">
        <v>2739805</v>
      </c>
      <c r="BO14" s="10">
        <v>44284</v>
      </c>
      <c r="BP14" s="9">
        <v>8907068339</v>
      </c>
      <c r="BQ14" s="9" t="s">
        <v>45</v>
      </c>
      <c r="BR14" s="9" t="s">
        <v>45</v>
      </c>
      <c r="BS14" s="9" t="s">
        <v>45</v>
      </c>
      <c r="BT14" s="9" t="s">
        <v>167</v>
      </c>
      <c r="BU14" s="9">
        <v>1</v>
      </c>
      <c r="BV14" s="10">
        <v>44243</v>
      </c>
      <c r="BW14" s="9">
        <v>2</v>
      </c>
      <c r="BX14" s="9">
        <v>2</v>
      </c>
      <c r="BY14" s="10" t="s">
        <v>47</v>
      </c>
      <c r="BZ14" s="9">
        <v>1</v>
      </c>
      <c r="CA14" s="10">
        <v>44243</v>
      </c>
      <c r="CB14" s="10">
        <v>44243</v>
      </c>
      <c r="CC14" s="9">
        <v>3</v>
      </c>
      <c r="CD14" s="10">
        <v>44243</v>
      </c>
      <c r="CE14" s="10">
        <v>44245</v>
      </c>
      <c r="CF14" s="9" t="s">
        <v>45</v>
      </c>
      <c r="CG14" s="9" t="s">
        <v>45</v>
      </c>
      <c r="CH14" s="9" t="s">
        <v>45</v>
      </c>
      <c r="CI14" s="9" t="s">
        <v>45</v>
      </c>
      <c r="CJ14" s="9" t="s">
        <v>67</v>
      </c>
      <c r="CK14" s="9" t="s">
        <v>48</v>
      </c>
      <c r="CL14" s="9" t="s">
        <v>140</v>
      </c>
      <c r="CM14" s="9" t="s">
        <v>49</v>
      </c>
      <c r="CN14" s="9" t="s">
        <v>50</v>
      </c>
      <c r="CO14" s="9" t="s">
        <v>140</v>
      </c>
      <c r="CP14" s="9" t="s">
        <v>49</v>
      </c>
      <c r="CQ14" s="9" t="s">
        <v>50</v>
      </c>
      <c r="CR14" s="9" t="s">
        <v>49</v>
      </c>
      <c r="CS14" s="9" t="s">
        <v>50</v>
      </c>
      <c r="CT14" s="9">
        <v>31</v>
      </c>
      <c r="CU14" s="2">
        <f t="shared" si="1"/>
        <v>0</v>
      </c>
      <c r="CV14" s="2" t="str">
        <f t="shared" si="0"/>
        <v>ALTA</v>
      </c>
      <c r="CW14" s="2">
        <f t="shared" si="2"/>
        <v>2</v>
      </c>
      <c r="CX14" s="2" t="str">
        <f t="shared" si="3"/>
        <v>ALTA</v>
      </c>
      <c r="CY14" s="1"/>
      <c r="CZ14" s="1"/>
      <c r="DE14" s="1"/>
    </row>
    <row r="15" spans="1:110" x14ac:dyDescent="0.25">
      <c r="A15" s="9">
        <v>115</v>
      </c>
      <c r="B15" s="10">
        <v>44265</v>
      </c>
      <c r="C15" s="9">
        <v>9</v>
      </c>
      <c r="D15" s="9">
        <v>2021</v>
      </c>
      <c r="E15" s="9">
        <v>1100108171</v>
      </c>
      <c r="F15" s="9">
        <v>2</v>
      </c>
      <c r="G15" s="9" t="s">
        <v>217</v>
      </c>
      <c r="H15" s="9" t="s">
        <v>71</v>
      </c>
      <c r="I15" s="9" t="s">
        <v>141</v>
      </c>
      <c r="J15" s="9" t="s">
        <v>218</v>
      </c>
      <c r="K15" s="9" t="s">
        <v>51</v>
      </c>
      <c r="L15" s="9">
        <v>1188973537</v>
      </c>
      <c r="M15" s="9">
        <v>1</v>
      </c>
      <c r="N15" s="9">
        <v>2</v>
      </c>
      <c r="O15" s="9">
        <v>170</v>
      </c>
      <c r="P15" s="9" t="s">
        <v>140</v>
      </c>
      <c r="Q15" s="9" t="s">
        <v>53</v>
      </c>
      <c r="R15" s="9">
        <v>170</v>
      </c>
      <c r="S15" s="9">
        <v>73</v>
      </c>
      <c r="T15" s="9">
        <v>268</v>
      </c>
      <c r="U15" s="9">
        <v>1</v>
      </c>
      <c r="V15" s="9" t="s">
        <v>115</v>
      </c>
      <c r="W15" s="9" t="s">
        <v>45</v>
      </c>
      <c r="X15" s="9" t="s">
        <v>45</v>
      </c>
      <c r="Y15" s="9" t="s">
        <v>73</v>
      </c>
      <c r="Z15" s="9" t="s">
        <v>219</v>
      </c>
      <c r="AA15" s="9">
        <v>9999</v>
      </c>
      <c r="AB15" s="9" t="s">
        <v>46</v>
      </c>
      <c r="AC15" s="9" t="s">
        <v>116</v>
      </c>
      <c r="AD15" s="9">
        <v>6</v>
      </c>
      <c r="AE15" s="9"/>
      <c r="AF15" s="9">
        <v>1</v>
      </c>
      <c r="AG15" s="9">
        <v>2</v>
      </c>
      <c r="AH15" s="9">
        <v>2</v>
      </c>
      <c r="AI15" s="9">
        <v>2</v>
      </c>
      <c r="AJ15" s="9">
        <v>2</v>
      </c>
      <c r="AK15" s="9" t="s">
        <v>45</v>
      </c>
      <c r="AL15" s="9" t="s">
        <v>45</v>
      </c>
      <c r="AM15" s="9">
        <v>2</v>
      </c>
      <c r="AN15" s="9">
        <v>2</v>
      </c>
      <c r="AO15" s="9" t="s">
        <v>45</v>
      </c>
      <c r="AP15" s="9">
        <v>2</v>
      </c>
      <c r="AQ15" s="9">
        <v>2</v>
      </c>
      <c r="AR15" s="9">
        <v>2</v>
      </c>
      <c r="AS15" s="9">
        <v>1</v>
      </c>
      <c r="AT15" s="9">
        <v>1</v>
      </c>
      <c r="AU15" s="9">
        <v>170</v>
      </c>
      <c r="AV15" s="9">
        <v>73</v>
      </c>
      <c r="AW15" s="9">
        <v>268</v>
      </c>
      <c r="AX15" s="10">
        <v>44261</v>
      </c>
      <c r="AY15" s="10">
        <v>44233</v>
      </c>
      <c r="AZ15" s="9">
        <v>2</v>
      </c>
      <c r="BA15" s="9">
        <v>1</v>
      </c>
      <c r="BB15" s="10">
        <v>44261</v>
      </c>
      <c r="BC15" s="9">
        <v>1</v>
      </c>
      <c r="BD15" s="9" t="s">
        <v>47</v>
      </c>
      <c r="BE15" s="9">
        <v>6</v>
      </c>
      <c r="BF15" s="9">
        <v>3012956152</v>
      </c>
      <c r="BG15" s="10">
        <v>44210</v>
      </c>
      <c r="BH15" s="9" t="s">
        <v>45</v>
      </c>
      <c r="BI15" s="9" t="s">
        <v>45</v>
      </c>
      <c r="BJ15" s="9">
        <v>110010817102</v>
      </c>
      <c r="BK15" s="9"/>
      <c r="BL15" s="10">
        <v>44287</v>
      </c>
      <c r="BM15" s="9" t="s">
        <v>220</v>
      </c>
      <c r="BN15" s="9">
        <v>7467310</v>
      </c>
      <c r="BO15" s="10">
        <v>44284</v>
      </c>
      <c r="BP15" s="9"/>
      <c r="BQ15" s="9" t="s">
        <v>45</v>
      </c>
      <c r="BR15" s="9" t="s">
        <v>45</v>
      </c>
      <c r="BS15" s="9" t="s">
        <v>45</v>
      </c>
      <c r="BT15" s="9" t="s">
        <v>160</v>
      </c>
      <c r="BU15" s="9">
        <v>3</v>
      </c>
      <c r="BV15" s="10" t="s">
        <v>47</v>
      </c>
      <c r="BW15" s="9">
        <v>2</v>
      </c>
      <c r="BX15" s="9">
        <v>2</v>
      </c>
      <c r="BY15" s="9" t="s">
        <v>47</v>
      </c>
      <c r="BZ15" s="9">
        <v>1</v>
      </c>
      <c r="CA15" s="10">
        <v>44261</v>
      </c>
      <c r="CB15" s="10">
        <v>44261</v>
      </c>
      <c r="CC15" s="9">
        <v>4</v>
      </c>
      <c r="CD15" s="10" t="s">
        <v>47</v>
      </c>
      <c r="CE15" s="10">
        <v>44265</v>
      </c>
      <c r="CF15" s="9" t="s">
        <v>45</v>
      </c>
      <c r="CG15" s="9" t="s">
        <v>45</v>
      </c>
      <c r="CH15" s="9" t="s">
        <v>45</v>
      </c>
      <c r="CI15" s="9" t="s">
        <v>45</v>
      </c>
      <c r="CJ15" s="9" t="s">
        <v>67</v>
      </c>
      <c r="CK15" s="9"/>
      <c r="CL15" s="9" t="s">
        <v>140</v>
      </c>
      <c r="CM15" s="9" t="s">
        <v>49</v>
      </c>
      <c r="CN15" s="9" t="s">
        <v>59</v>
      </c>
      <c r="CO15" s="9" t="s">
        <v>140</v>
      </c>
      <c r="CP15" s="9" t="s">
        <v>49</v>
      </c>
      <c r="CQ15" s="9" t="s">
        <v>59</v>
      </c>
      <c r="CR15" s="9"/>
      <c r="CS15" s="9"/>
      <c r="CT15" s="9">
        <v>34</v>
      </c>
      <c r="CU15" s="2">
        <f t="shared" si="1"/>
        <v>0</v>
      </c>
      <c r="CV15" s="2" t="str">
        <f t="shared" si="0"/>
        <v>ALTA</v>
      </c>
      <c r="CW15" s="2" t="e">
        <f t="shared" si="2"/>
        <v>#VALUE!</v>
      </c>
      <c r="CX15" s="2" t="str">
        <f t="shared" si="3"/>
        <v>-</v>
      </c>
      <c r="CY15" s="1"/>
      <c r="CZ15" s="1"/>
      <c r="DE15" s="1"/>
    </row>
    <row r="16" spans="1:110" x14ac:dyDescent="0.25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10"/>
      <c r="AY16" s="10"/>
      <c r="AZ16" s="9"/>
      <c r="BA16" s="9"/>
      <c r="BB16" s="10"/>
      <c r="BC16" s="9"/>
      <c r="BD16" s="9"/>
      <c r="BE16" s="9"/>
      <c r="BF16" s="9"/>
      <c r="BG16" s="10"/>
      <c r="BH16" s="9"/>
      <c r="BI16" s="9"/>
      <c r="BJ16" s="9"/>
      <c r="BK16" s="9"/>
      <c r="BL16" s="10"/>
      <c r="BM16" s="9"/>
      <c r="BN16" s="9"/>
      <c r="BO16" s="10"/>
      <c r="BP16" s="9"/>
      <c r="BQ16" s="9"/>
      <c r="BR16" s="9"/>
      <c r="BS16" s="9"/>
      <c r="BT16" s="9"/>
      <c r="BU16" s="9"/>
      <c r="BV16" s="10"/>
      <c r="BW16" s="9"/>
      <c r="BX16" s="9"/>
      <c r="BY16" s="9"/>
      <c r="BZ16" s="9"/>
      <c r="CA16" s="10"/>
      <c r="CB16" s="10"/>
      <c r="CC16" s="9"/>
      <c r="CD16" s="10"/>
      <c r="CE16" s="10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2">
        <f t="shared" si="1"/>
        <v>0</v>
      </c>
      <c r="CV16" s="2" t="str">
        <f t="shared" si="0"/>
        <v>ALTA</v>
      </c>
      <c r="CW16" s="2">
        <f t="shared" si="2"/>
        <v>0</v>
      </c>
      <c r="CX16" s="2" t="str">
        <f t="shared" si="3"/>
        <v>ALTA</v>
      </c>
    </row>
    <row r="17" spans="1:110" s="4" customFormat="1" x14ac:dyDescent="0.25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10"/>
      <c r="AY17" s="10"/>
      <c r="AZ17" s="9"/>
      <c r="BA17" s="9"/>
      <c r="BB17" s="10"/>
      <c r="BC17" s="9"/>
      <c r="BD17" s="9"/>
      <c r="BE17" s="9"/>
      <c r="BF17" s="9"/>
      <c r="BG17" s="10"/>
      <c r="BH17" s="9"/>
      <c r="BI17" s="9"/>
      <c r="BJ17" s="9"/>
      <c r="BK17" s="9"/>
      <c r="BL17" s="10"/>
      <c r="BM17" s="9"/>
      <c r="BN17" s="9"/>
      <c r="BO17" s="10"/>
      <c r="BP17" s="9"/>
      <c r="BQ17" s="9"/>
      <c r="BR17" s="9"/>
      <c r="BS17" s="9"/>
      <c r="BT17" s="9"/>
      <c r="BU17" s="9"/>
      <c r="BV17" s="10"/>
      <c r="BW17" s="9"/>
      <c r="BX17" s="9"/>
      <c r="BY17" s="9"/>
      <c r="BZ17" s="9"/>
      <c r="CA17" s="10"/>
      <c r="CB17" s="10"/>
      <c r="CC17" s="9"/>
      <c r="CD17" s="10"/>
      <c r="CE17" s="10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2">
        <f t="shared" si="1"/>
        <v>0</v>
      </c>
      <c r="CV17" s="2" t="str">
        <f t="shared" si="0"/>
        <v>ALTA</v>
      </c>
      <c r="CW17" s="2">
        <f t="shared" si="2"/>
        <v>0</v>
      </c>
      <c r="CX17" s="2" t="str">
        <f t="shared" si="3"/>
        <v>ALTA</v>
      </c>
    </row>
    <row r="18" spans="1:110" x14ac:dyDescent="0.25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10"/>
      <c r="AY18" s="10"/>
      <c r="AZ18" s="9"/>
      <c r="BA18" s="9"/>
      <c r="BB18" s="10"/>
      <c r="BC18" s="9"/>
      <c r="BD18" s="9"/>
      <c r="BE18" s="9"/>
      <c r="BF18" s="9"/>
      <c r="BG18" s="10"/>
      <c r="BH18" s="9"/>
      <c r="BI18" s="9"/>
      <c r="BJ18" s="9"/>
      <c r="BK18" s="9"/>
      <c r="BL18" s="10"/>
      <c r="BM18" s="9"/>
      <c r="BN18" s="9"/>
      <c r="BO18" s="10"/>
      <c r="BP18" s="9"/>
      <c r="BQ18" s="9"/>
      <c r="BR18" s="9"/>
      <c r="BS18" s="9"/>
      <c r="BT18" s="9"/>
      <c r="BU18" s="9"/>
      <c r="BV18" s="10"/>
      <c r="BW18" s="9"/>
      <c r="BX18" s="9"/>
      <c r="BY18" s="9"/>
      <c r="BZ18" s="9"/>
      <c r="CA18" s="10"/>
      <c r="CB18" s="10"/>
      <c r="CC18" s="9"/>
      <c r="CD18" s="10"/>
      <c r="CE18" s="10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2">
        <f t="shared" si="1"/>
        <v>0</v>
      </c>
      <c r="CV18" s="2" t="str">
        <f t="shared" si="0"/>
        <v>ALTA</v>
      </c>
      <c r="CW18" s="2">
        <f t="shared" si="2"/>
        <v>0</v>
      </c>
      <c r="CX18" s="2" t="str">
        <f t="shared" si="3"/>
        <v>ALTA</v>
      </c>
      <c r="CY18" s="2"/>
      <c r="CZ18" s="2"/>
      <c r="DA18" s="2"/>
      <c r="DB18" s="2"/>
      <c r="DC18" s="2"/>
      <c r="DD18" s="2"/>
      <c r="DE18" s="2"/>
      <c r="DF18" s="2"/>
    </row>
    <row r="19" spans="1:110" x14ac:dyDescent="0.25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10"/>
      <c r="AY19" s="10"/>
      <c r="AZ19" s="9"/>
      <c r="BA19" s="9"/>
      <c r="BB19" s="10"/>
      <c r="BC19" s="9"/>
      <c r="BD19" s="9"/>
      <c r="BE19" s="9"/>
      <c r="BF19" s="9"/>
      <c r="BG19" s="10"/>
      <c r="BH19" s="9"/>
      <c r="BI19" s="9"/>
      <c r="BJ19" s="9"/>
      <c r="BK19" s="9"/>
      <c r="BL19" s="10"/>
      <c r="BM19" s="9"/>
      <c r="BN19" s="9"/>
      <c r="BO19" s="10"/>
      <c r="BP19" s="9"/>
      <c r="BQ19" s="9"/>
      <c r="BR19" s="9"/>
      <c r="BS19" s="9"/>
      <c r="BT19" s="9"/>
      <c r="BU19" s="9"/>
      <c r="BV19" s="10"/>
      <c r="BW19" s="9"/>
      <c r="BX19" s="9"/>
      <c r="BY19" s="9"/>
      <c r="BZ19" s="9"/>
      <c r="CA19" s="10"/>
      <c r="CB19" s="10"/>
      <c r="CC19" s="9"/>
      <c r="CD19" s="10"/>
      <c r="CE19" s="10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2">
        <f t="shared" si="1"/>
        <v>0</v>
      </c>
      <c r="CV19" s="2" t="str">
        <f t="shared" si="0"/>
        <v>ALTA</v>
      </c>
      <c r="CW19" s="2">
        <f t="shared" si="2"/>
        <v>0</v>
      </c>
      <c r="CX19" s="2" t="str">
        <f t="shared" si="3"/>
        <v>ALTA</v>
      </c>
    </row>
    <row r="20" spans="1:110" x14ac:dyDescent="0.25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10"/>
      <c r="AY20" s="10"/>
      <c r="AZ20" s="9"/>
      <c r="BA20" s="9"/>
      <c r="BB20" s="10"/>
      <c r="BC20" s="9"/>
      <c r="BD20" s="9"/>
      <c r="BE20" s="9"/>
      <c r="BF20" s="9"/>
      <c r="BG20" s="10"/>
      <c r="BH20" s="9"/>
      <c r="BI20" s="9"/>
      <c r="BJ20" s="9"/>
      <c r="BK20" s="9"/>
      <c r="BL20" s="10"/>
      <c r="BM20" s="9"/>
      <c r="BN20" s="9"/>
      <c r="BO20" s="10"/>
      <c r="BP20" s="9"/>
      <c r="BQ20" s="9"/>
      <c r="BR20" s="9"/>
      <c r="BS20" s="9"/>
      <c r="BT20" s="9"/>
      <c r="BU20" s="9"/>
      <c r="BV20" s="10"/>
      <c r="BW20" s="9"/>
      <c r="BX20" s="9"/>
      <c r="BY20" s="10"/>
      <c r="BZ20" s="9"/>
      <c r="CA20" s="10"/>
      <c r="CB20" s="10"/>
      <c r="CC20" s="9"/>
      <c r="CD20" s="10"/>
      <c r="CE20" s="10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2">
        <f t="shared" si="1"/>
        <v>0</v>
      </c>
      <c r="CV20" s="2" t="str">
        <f t="shared" si="0"/>
        <v>ALTA</v>
      </c>
      <c r="CW20" s="2">
        <f t="shared" si="2"/>
        <v>0</v>
      </c>
      <c r="CX20" s="2" t="str">
        <f t="shared" si="3"/>
        <v>ALTA</v>
      </c>
    </row>
    <row r="21" spans="1:110" x14ac:dyDescent="0.25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10"/>
      <c r="AY21" s="10"/>
      <c r="AZ21" s="9"/>
      <c r="BA21" s="9"/>
      <c r="BB21" s="10"/>
      <c r="BC21" s="9"/>
      <c r="BD21" s="9"/>
      <c r="BE21" s="9"/>
      <c r="BF21" s="9"/>
      <c r="BG21" s="10"/>
      <c r="BH21" s="9"/>
      <c r="BI21" s="9"/>
      <c r="BJ21" s="9"/>
      <c r="BK21" s="9"/>
      <c r="BL21" s="10"/>
      <c r="BM21" s="9"/>
      <c r="BN21" s="9"/>
      <c r="BO21" s="10"/>
      <c r="BP21" s="9"/>
      <c r="BQ21" s="9"/>
      <c r="BR21" s="9"/>
      <c r="BS21" s="9"/>
      <c r="BT21" s="9"/>
      <c r="BU21" s="9"/>
      <c r="BV21" s="10"/>
      <c r="BW21" s="9"/>
      <c r="BX21" s="9"/>
      <c r="BY21" s="9"/>
      <c r="BZ21" s="9"/>
      <c r="CA21" s="10"/>
      <c r="CB21" s="10"/>
      <c r="CC21" s="9"/>
      <c r="CD21" s="10"/>
      <c r="CE21" s="10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2">
        <f t="shared" si="1"/>
        <v>0</v>
      </c>
      <c r="CV21" s="2" t="str">
        <f t="shared" si="0"/>
        <v>ALTA</v>
      </c>
      <c r="CW21" s="2">
        <f t="shared" si="2"/>
        <v>0</v>
      </c>
      <c r="CX21" s="2" t="str">
        <f t="shared" si="3"/>
        <v>ALTA</v>
      </c>
    </row>
    <row r="22" spans="1:110" s="4" customFormat="1" x14ac:dyDescent="0.25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10"/>
      <c r="AY22" s="10"/>
      <c r="AZ22" s="9"/>
      <c r="BA22" s="9"/>
      <c r="BB22" s="10"/>
      <c r="BC22" s="9"/>
      <c r="BD22" s="9"/>
      <c r="BE22" s="9"/>
      <c r="BF22" s="9"/>
      <c r="BG22" s="10"/>
      <c r="BH22" s="9"/>
      <c r="BI22" s="9"/>
      <c r="BJ22" s="9"/>
      <c r="BK22" s="9"/>
      <c r="BL22" s="10"/>
      <c r="BM22" s="9"/>
      <c r="BN22" s="9"/>
      <c r="BO22" s="10"/>
      <c r="BP22" s="9"/>
      <c r="BQ22" s="9"/>
      <c r="BR22" s="9"/>
      <c r="BS22" s="9"/>
      <c r="BT22" s="9"/>
      <c r="BU22" s="9"/>
      <c r="BV22" s="10"/>
      <c r="BW22" s="9"/>
      <c r="BX22" s="9"/>
      <c r="BY22" s="9"/>
      <c r="BZ22" s="9"/>
      <c r="CA22" s="10"/>
      <c r="CB22" s="10"/>
      <c r="CC22" s="9"/>
      <c r="CD22" s="10"/>
      <c r="CE22" s="10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2">
        <f t="shared" si="1"/>
        <v>0</v>
      </c>
      <c r="CV22" s="2" t="str">
        <f t="shared" si="0"/>
        <v>ALTA</v>
      </c>
      <c r="CW22" s="2">
        <f t="shared" si="2"/>
        <v>0</v>
      </c>
      <c r="CX22" s="2" t="str">
        <f t="shared" si="3"/>
        <v>ALTA</v>
      </c>
    </row>
    <row r="23" spans="1:110" s="4" customForma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10"/>
      <c r="CB23" s="10"/>
      <c r="CC23" s="9"/>
      <c r="CD23" s="10"/>
      <c r="CE23" s="10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2">
        <f t="shared" si="1"/>
        <v>0</v>
      </c>
      <c r="CV23" s="2" t="str">
        <f t="shared" si="0"/>
        <v>ALTA</v>
      </c>
      <c r="CW23" s="2">
        <f t="shared" si="2"/>
        <v>0</v>
      </c>
      <c r="CX23" s="2" t="str">
        <f t="shared" si="3"/>
        <v>ALTA</v>
      </c>
    </row>
    <row r="24" spans="1:110" x14ac:dyDescent="0.25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10"/>
      <c r="AY24" s="10"/>
      <c r="AZ24" s="9"/>
      <c r="BA24" s="9"/>
      <c r="BB24" s="10"/>
      <c r="BC24" s="9"/>
      <c r="BD24" s="9"/>
      <c r="BE24" s="9"/>
      <c r="BF24" s="9"/>
      <c r="BG24" s="10"/>
      <c r="BH24" s="9"/>
      <c r="BI24" s="9"/>
      <c r="BJ24" s="9"/>
      <c r="BK24" s="9"/>
      <c r="BL24" s="10"/>
      <c r="BM24" s="9"/>
      <c r="BN24" s="9"/>
      <c r="BO24" s="10"/>
      <c r="BP24" s="9"/>
      <c r="BQ24" s="9"/>
      <c r="BR24" s="9"/>
      <c r="BS24" s="9"/>
      <c r="BT24" s="9"/>
      <c r="BU24" s="9"/>
      <c r="BV24" s="10"/>
      <c r="BW24" s="9"/>
      <c r="BX24" s="9"/>
      <c r="BY24" s="9"/>
      <c r="BZ24" s="9"/>
      <c r="CA24" s="10"/>
      <c r="CB24" s="10"/>
      <c r="CC24" s="9"/>
      <c r="CD24" s="10"/>
      <c r="CE24" s="10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2">
        <f t="shared" si="1"/>
        <v>0</v>
      </c>
      <c r="CV24" s="2" t="str">
        <f t="shared" si="0"/>
        <v>ALTA</v>
      </c>
      <c r="CW24" s="2">
        <f t="shared" si="2"/>
        <v>0</v>
      </c>
      <c r="CX24" s="2" t="str">
        <f t="shared" si="3"/>
        <v>ALTA</v>
      </c>
    </row>
    <row r="25" spans="1:110" s="4" customFormat="1" x14ac:dyDescent="0.25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10"/>
      <c r="AY25" s="10"/>
      <c r="AZ25" s="9"/>
      <c r="BA25" s="9"/>
      <c r="BB25" s="10"/>
      <c r="BC25" s="9"/>
      <c r="BD25" s="9"/>
      <c r="BE25" s="9"/>
      <c r="BF25" s="9"/>
      <c r="BG25" s="10"/>
      <c r="BH25" s="9"/>
      <c r="BI25" s="9"/>
      <c r="BJ25" s="9"/>
      <c r="BK25" s="9"/>
      <c r="BL25" s="10"/>
      <c r="BM25" s="9"/>
      <c r="BN25" s="9"/>
      <c r="BO25" s="10"/>
      <c r="BP25" s="9"/>
      <c r="BQ25" s="9"/>
      <c r="BR25" s="9"/>
      <c r="BS25" s="9"/>
      <c r="BT25" s="9"/>
      <c r="BU25" s="9"/>
      <c r="BV25" s="10"/>
      <c r="BW25" s="9"/>
      <c r="BX25" s="9"/>
      <c r="BY25" s="10"/>
      <c r="BZ25" s="9"/>
      <c r="CA25" s="10"/>
      <c r="CB25" s="10"/>
      <c r="CC25" s="9"/>
      <c r="CD25" s="10"/>
      <c r="CE25" s="10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2">
        <f t="shared" si="1"/>
        <v>0</v>
      </c>
      <c r="CV25" s="2" t="str">
        <f t="shared" si="0"/>
        <v>ALTA</v>
      </c>
      <c r="CW25" s="2">
        <f t="shared" si="2"/>
        <v>0</v>
      </c>
      <c r="CX25" s="2" t="str">
        <f t="shared" si="3"/>
        <v>ALTA</v>
      </c>
    </row>
    <row r="26" spans="1:110" x14ac:dyDescent="0.25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10"/>
      <c r="AY26" s="10"/>
      <c r="AZ26" s="9"/>
      <c r="BA26" s="9"/>
      <c r="BB26" s="10"/>
      <c r="BC26" s="9"/>
      <c r="BD26" s="9"/>
      <c r="BE26" s="9"/>
      <c r="BF26" s="9"/>
      <c r="BG26" s="10"/>
      <c r="BH26" s="9"/>
      <c r="BI26" s="9"/>
      <c r="BJ26" s="9"/>
      <c r="BK26" s="9"/>
      <c r="BL26" s="10"/>
      <c r="BM26" s="9"/>
      <c r="BN26" s="9"/>
      <c r="BO26" s="10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10"/>
      <c r="CB26" s="10"/>
      <c r="CC26" s="9"/>
      <c r="CD26" s="10"/>
      <c r="CE26" s="10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2">
        <f t="shared" si="1"/>
        <v>0</v>
      </c>
      <c r="CV26" s="2" t="str">
        <f t="shared" si="0"/>
        <v>ALTA</v>
      </c>
      <c r="CW26" s="2">
        <f t="shared" si="2"/>
        <v>0</v>
      </c>
      <c r="CX26" s="2" t="str">
        <f t="shared" si="3"/>
        <v>ALTA</v>
      </c>
    </row>
    <row r="27" spans="1:11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10"/>
      <c r="CB27" s="10"/>
      <c r="CC27" s="9"/>
      <c r="CD27" s="10"/>
      <c r="CE27" s="10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2">
        <f t="shared" si="1"/>
        <v>0</v>
      </c>
      <c r="CV27" s="2" t="str">
        <f t="shared" si="0"/>
        <v>ALTA</v>
      </c>
      <c r="CW27" s="2">
        <f t="shared" si="2"/>
        <v>0</v>
      </c>
      <c r="CX27" s="2" t="str">
        <f t="shared" si="3"/>
        <v>ALTA</v>
      </c>
    </row>
    <row r="28" spans="1:110" x14ac:dyDescent="0.25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10"/>
      <c r="AY28" s="10"/>
      <c r="AZ28" s="9"/>
      <c r="BA28" s="9"/>
      <c r="BB28" s="10"/>
      <c r="BC28" s="9"/>
      <c r="BD28" s="9"/>
      <c r="BE28" s="9"/>
      <c r="BF28" s="9"/>
      <c r="BG28" s="10"/>
      <c r="BH28" s="9"/>
      <c r="BI28" s="9"/>
      <c r="BJ28" s="9"/>
      <c r="BK28" s="9"/>
      <c r="BL28" s="10"/>
      <c r="BM28" s="9"/>
      <c r="BN28" s="9"/>
      <c r="BO28" s="10"/>
      <c r="BP28" s="9"/>
      <c r="BQ28" s="9"/>
      <c r="BR28" s="9"/>
      <c r="BS28" s="9"/>
      <c r="BT28" s="9"/>
      <c r="BU28" s="9"/>
      <c r="BV28" s="10"/>
      <c r="BW28" s="9"/>
      <c r="BX28" s="9"/>
      <c r="BY28" s="10"/>
      <c r="BZ28" s="9"/>
      <c r="CA28" s="10"/>
      <c r="CB28" s="10"/>
      <c r="CC28" s="9"/>
      <c r="CD28" s="10"/>
      <c r="CE28" s="10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2">
        <f t="shared" si="1"/>
        <v>0</v>
      </c>
      <c r="CV28" s="2" t="str">
        <f t="shared" si="0"/>
        <v>ALTA</v>
      </c>
      <c r="CW28" s="2">
        <f t="shared" si="2"/>
        <v>0</v>
      </c>
      <c r="CX28" s="2" t="str">
        <f t="shared" si="3"/>
        <v>ALTA</v>
      </c>
    </row>
    <row r="29" spans="1:110" x14ac:dyDescent="0.25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10"/>
      <c r="AY29" s="10"/>
      <c r="AZ29" s="9"/>
      <c r="BA29" s="9"/>
      <c r="BB29" s="10"/>
      <c r="BC29" s="9"/>
      <c r="BD29" s="9"/>
      <c r="BE29" s="9"/>
      <c r="BF29" s="9"/>
      <c r="BG29" s="10"/>
      <c r="BH29" s="9"/>
      <c r="BI29" s="9"/>
      <c r="BJ29" s="9"/>
      <c r="BK29" s="9"/>
      <c r="BL29" s="10"/>
      <c r="BM29" s="9"/>
      <c r="BN29" s="9"/>
      <c r="BO29" s="10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10"/>
      <c r="CB29" s="10"/>
      <c r="CC29" s="9"/>
      <c r="CD29" s="10"/>
      <c r="CE29" s="10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2">
        <f t="shared" si="1"/>
        <v>0</v>
      </c>
      <c r="CV29" s="2" t="str">
        <f t="shared" si="0"/>
        <v>ALTA</v>
      </c>
      <c r="CW29" s="2">
        <f t="shared" si="2"/>
        <v>0</v>
      </c>
      <c r="CX29" s="2" t="str">
        <f t="shared" si="3"/>
        <v>ALTA</v>
      </c>
      <c r="CY29" s="5"/>
      <c r="CZ29" s="5"/>
      <c r="DA29" s="5"/>
      <c r="DB29" s="5"/>
      <c r="DC29" s="5"/>
      <c r="DD29" s="5"/>
      <c r="DE29" s="5"/>
      <c r="DF29" s="5"/>
    </row>
    <row r="30" spans="1:110" x14ac:dyDescent="0.25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10"/>
      <c r="AY30" s="10"/>
      <c r="AZ30" s="9"/>
      <c r="BA30" s="9"/>
      <c r="BB30" s="10"/>
      <c r="BC30" s="9"/>
      <c r="BD30" s="9"/>
      <c r="BE30" s="9"/>
      <c r="BF30" s="9"/>
      <c r="BG30" s="10"/>
      <c r="BH30" s="9"/>
      <c r="BI30" s="9"/>
      <c r="BJ30" s="9"/>
      <c r="BK30" s="9"/>
      <c r="BL30" s="10"/>
      <c r="BM30" s="9"/>
      <c r="BN30" s="9"/>
      <c r="BO30" s="10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10"/>
      <c r="CB30" s="10"/>
      <c r="CC30" s="9"/>
      <c r="CD30" s="10"/>
      <c r="CE30" s="10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2">
        <f t="shared" si="1"/>
        <v>0</v>
      </c>
      <c r="CV30" s="2" t="str">
        <f t="shared" si="0"/>
        <v>ALTA</v>
      </c>
      <c r="CW30" s="2">
        <f t="shared" si="2"/>
        <v>0</v>
      </c>
      <c r="CX30" s="2" t="str">
        <f t="shared" si="3"/>
        <v>ALTA</v>
      </c>
    </row>
    <row r="31" spans="1:11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10"/>
      <c r="CB31" s="10"/>
      <c r="CC31" s="9"/>
      <c r="CD31" s="10"/>
      <c r="CE31" s="10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2">
        <f t="shared" si="1"/>
        <v>0</v>
      </c>
      <c r="CV31" s="2" t="str">
        <f t="shared" si="0"/>
        <v>ALTA</v>
      </c>
      <c r="CW31" s="2">
        <f t="shared" si="2"/>
        <v>0</v>
      </c>
      <c r="CX31" s="2" t="str">
        <f t="shared" si="3"/>
        <v>ALTA</v>
      </c>
    </row>
    <row r="32" spans="1:11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10"/>
      <c r="CB32" s="10"/>
      <c r="CC32" s="9"/>
      <c r="CD32" s="10"/>
      <c r="CE32" s="10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2">
        <f t="shared" si="1"/>
        <v>0</v>
      </c>
      <c r="CV32" s="2" t="str">
        <f t="shared" si="0"/>
        <v>ALTA</v>
      </c>
      <c r="CW32" s="2">
        <f t="shared" si="2"/>
        <v>0</v>
      </c>
      <c r="CX32" s="2" t="str">
        <f t="shared" si="3"/>
        <v>ALTA</v>
      </c>
    </row>
    <row r="33" spans="1:110" x14ac:dyDescent="0.25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10"/>
      <c r="AY33" s="10"/>
      <c r="AZ33" s="9"/>
      <c r="BA33" s="9"/>
      <c r="BB33" s="10"/>
      <c r="BC33" s="9"/>
      <c r="BD33" s="9"/>
      <c r="BE33" s="9"/>
      <c r="BF33" s="9"/>
      <c r="BG33" s="10"/>
      <c r="BH33" s="9"/>
      <c r="BI33" s="9"/>
      <c r="BJ33" s="9"/>
      <c r="BK33" s="9"/>
      <c r="BL33" s="10"/>
      <c r="BM33" s="9"/>
      <c r="BN33" s="9"/>
      <c r="BO33" s="10"/>
      <c r="BP33" s="9"/>
      <c r="BQ33" s="9"/>
      <c r="BR33" s="9"/>
      <c r="BS33" s="9"/>
      <c r="BT33" s="9"/>
      <c r="BU33" s="9"/>
      <c r="BV33" s="10"/>
      <c r="BW33" s="9"/>
      <c r="BX33" s="9"/>
      <c r="BY33" s="9"/>
      <c r="BZ33" s="9"/>
      <c r="CA33" s="10"/>
      <c r="CB33" s="10"/>
      <c r="CC33" s="9"/>
      <c r="CD33" s="10"/>
      <c r="CE33" s="10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2">
        <f t="shared" si="1"/>
        <v>0</v>
      </c>
      <c r="CV33" s="2" t="str">
        <f t="shared" si="0"/>
        <v>ALTA</v>
      </c>
      <c r="CW33" s="2">
        <f t="shared" si="2"/>
        <v>0</v>
      </c>
      <c r="CX33" s="2" t="str">
        <f t="shared" si="3"/>
        <v>ALTA</v>
      </c>
    </row>
    <row r="34" spans="1:110" x14ac:dyDescent="0.25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10"/>
      <c r="AY34" s="10"/>
      <c r="AZ34" s="9"/>
      <c r="BA34" s="9"/>
      <c r="BB34" s="10"/>
      <c r="BC34" s="9"/>
      <c r="BD34" s="9"/>
      <c r="BE34" s="9"/>
      <c r="BF34" s="9"/>
      <c r="BG34" s="10"/>
      <c r="BH34" s="9"/>
      <c r="BI34" s="9"/>
      <c r="BJ34" s="9"/>
      <c r="BK34" s="9"/>
      <c r="BL34" s="10"/>
      <c r="BM34" s="9"/>
      <c r="BN34" s="9"/>
      <c r="BO34" s="10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10"/>
      <c r="CB34" s="10"/>
      <c r="CC34" s="9"/>
      <c r="CD34" s="10"/>
      <c r="CE34" s="10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2">
        <f t="shared" si="1"/>
        <v>0</v>
      </c>
      <c r="CV34" s="2" t="str">
        <f t="shared" si="0"/>
        <v>ALTA</v>
      </c>
      <c r="CW34" s="2">
        <f t="shared" si="2"/>
        <v>0</v>
      </c>
      <c r="CX34" s="2" t="str">
        <f t="shared" si="3"/>
        <v>ALTA</v>
      </c>
    </row>
    <row r="35" spans="1:110" x14ac:dyDescent="0.25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10"/>
      <c r="AY35" s="10"/>
      <c r="AZ35" s="9"/>
      <c r="BA35" s="9"/>
      <c r="BB35" s="10"/>
      <c r="BC35" s="9"/>
      <c r="BD35" s="9"/>
      <c r="BE35" s="9"/>
      <c r="BF35" s="9"/>
      <c r="BG35" s="10"/>
      <c r="BH35" s="9"/>
      <c r="BI35" s="9"/>
      <c r="BJ35" s="9"/>
      <c r="BK35" s="9"/>
      <c r="BL35" s="10"/>
      <c r="BM35" s="9"/>
      <c r="BN35" s="9"/>
      <c r="BO35" s="10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10"/>
      <c r="CB35" s="10"/>
      <c r="CC35" s="9"/>
      <c r="CD35" s="10"/>
      <c r="CE35" s="10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2">
        <f t="shared" si="1"/>
        <v>0</v>
      </c>
      <c r="CV35" s="2" t="str">
        <f t="shared" si="0"/>
        <v>ALTA</v>
      </c>
      <c r="CW35" s="2">
        <f t="shared" si="2"/>
        <v>0</v>
      </c>
      <c r="CX35" s="2" t="str">
        <f t="shared" si="3"/>
        <v>ALTA</v>
      </c>
      <c r="CY35" s="5"/>
      <c r="CZ35" s="5"/>
      <c r="DA35" s="5"/>
      <c r="DB35" s="5"/>
      <c r="DC35" s="5"/>
      <c r="DD35" s="5"/>
      <c r="DE35" s="5"/>
      <c r="DF35" s="5"/>
    </row>
    <row r="36" spans="1:110" x14ac:dyDescent="0.25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10"/>
      <c r="AY36" s="10"/>
      <c r="AZ36" s="9"/>
      <c r="BA36" s="9"/>
      <c r="BB36" s="10"/>
      <c r="BC36" s="9"/>
      <c r="BD36" s="9"/>
      <c r="BE36" s="9"/>
      <c r="BF36" s="9"/>
      <c r="BG36" s="10"/>
      <c r="BH36" s="9"/>
      <c r="BI36" s="9"/>
      <c r="BJ36" s="9"/>
      <c r="BK36" s="9"/>
      <c r="BL36" s="10"/>
      <c r="BM36" s="9"/>
      <c r="BN36" s="9"/>
      <c r="BO36" s="10"/>
      <c r="BP36" s="9"/>
      <c r="BQ36" s="9"/>
      <c r="BR36" s="9"/>
      <c r="BS36" s="9"/>
      <c r="BT36" s="9"/>
      <c r="BU36" s="9"/>
      <c r="BV36" s="10"/>
      <c r="BW36" s="9"/>
      <c r="BX36" s="9"/>
      <c r="BY36" s="9"/>
      <c r="BZ36" s="9"/>
      <c r="CA36" s="10"/>
      <c r="CB36" s="10"/>
      <c r="CC36" s="9"/>
      <c r="CD36" s="10"/>
      <c r="CE36" s="10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2">
        <f t="shared" si="1"/>
        <v>0</v>
      </c>
      <c r="CV36" s="2" t="str">
        <f t="shared" si="0"/>
        <v>ALTA</v>
      </c>
      <c r="CW36" s="2">
        <f t="shared" si="2"/>
        <v>0</v>
      </c>
      <c r="CX36" s="2" t="str">
        <f t="shared" si="3"/>
        <v>ALTA</v>
      </c>
      <c r="CY36" s="5"/>
      <c r="CZ36" s="5"/>
      <c r="DA36" s="5"/>
      <c r="DB36" s="5"/>
      <c r="DC36" s="5"/>
      <c r="DD36" s="5"/>
      <c r="DE36" s="5"/>
      <c r="DF36" s="5"/>
    </row>
    <row r="37" spans="1:110" x14ac:dyDescent="0.25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10"/>
      <c r="AY37" s="10"/>
      <c r="AZ37" s="9"/>
      <c r="BA37" s="9"/>
      <c r="BB37" s="10"/>
      <c r="BC37" s="9"/>
      <c r="BD37" s="9"/>
      <c r="BE37" s="9"/>
      <c r="BF37" s="9"/>
      <c r="BG37" s="10"/>
      <c r="BH37" s="9"/>
      <c r="BI37" s="9"/>
      <c r="BJ37" s="9"/>
      <c r="BK37" s="9"/>
      <c r="BL37" s="10"/>
      <c r="BM37" s="9"/>
      <c r="BN37" s="9"/>
      <c r="BO37" s="10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10"/>
      <c r="CB37" s="10"/>
      <c r="CC37" s="9"/>
      <c r="CD37" s="10"/>
      <c r="CE37" s="10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2">
        <f t="shared" si="1"/>
        <v>0</v>
      </c>
      <c r="CV37" s="2" t="str">
        <f t="shared" si="0"/>
        <v>ALTA</v>
      </c>
      <c r="CW37" s="2">
        <f t="shared" si="2"/>
        <v>0</v>
      </c>
      <c r="CX37" s="2" t="str">
        <f t="shared" si="3"/>
        <v>ALTA</v>
      </c>
    </row>
    <row r="38" spans="1:110" x14ac:dyDescent="0.25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10"/>
      <c r="AY38" s="10"/>
      <c r="AZ38" s="9"/>
      <c r="BA38" s="9"/>
      <c r="BB38" s="10"/>
      <c r="BC38" s="9"/>
      <c r="BD38" s="9"/>
      <c r="BE38" s="9"/>
      <c r="BF38" s="9"/>
      <c r="BG38" s="10"/>
      <c r="BH38" s="9"/>
      <c r="BI38" s="9"/>
      <c r="BJ38" s="9"/>
      <c r="BK38" s="9"/>
      <c r="BL38" s="10"/>
      <c r="BM38" s="9"/>
      <c r="BN38" s="9"/>
      <c r="BO38" s="10"/>
      <c r="BP38" s="9"/>
      <c r="BQ38" s="9"/>
      <c r="BR38" s="9"/>
      <c r="BS38" s="9"/>
      <c r="BT38" s="9"/>
      <c r="BU38" s="9"/>
      <c r="BV38" s="10"/>
      <c r="BW38" s="9"/>
      <c r="BX38" s="9"/>
      <c r="BY38" s="10"/>
      <c r="BZ38" s="9"/>
      <c r="CA38" s="10"/>
      <c r="CB38" s="10"/>
      <c r="CC38" s="9"/>
      <c r="CD38" s="10"/>
      <c r="CE38" s="10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2">
        <f t="shared" si="1"/>
        <v>0</v>
      </c>
      <c r="CV38" s="2" t="str">
        <f t="shared" si="0"/>
        <v>ALTA</v>
      </c>
      <c r="CW38" s="2">
        <f t="shared" si="2"/>
        <v>0</v>
      </c>
      <c r="CX38" s="2" t="str">
        <f t="shared" si="3"/>
        <v>ALTA</v>
      </c>
    </row>
    <row r="39" spans="1:11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10"/>
      <c r="CB39" s="10"/>
      <c r="CC39" s="9"/>
      <c r="CD39" s="10"/>
      <c r="CE39" s="10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2">
        <f t="shared" si="1"/>
        <v>0</v>
      </c>
      <c r="CV39" s="2" t="str">
        <f t="shared" si="0"/>
        <v>ALTA</v>
      </c>
      <c r="CW39" s="2">
        <f t="shared" si="2"/>
        <v>0</v>
      </c>
      <c r="CX39" s="2" t="str">
        <f t="shared" si="3"/>
        <v>ALTA</v>
      </c>
    </row>
    <row r="40" spans="1:110" x14ac:dyDescent="0.25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10"/>
      <c r="AY40" s="10"/>
      <c r="AZ40" s="9"/>
      <c r="BA40" s="9"/>
      <c r="BB40" s="10"/>
      <c r="BC40" s="9"/>
      <c r="BD40" s="9"/>
      <c r="BE40" s="9"/>
      <c r="BF40" s="9"/>
      <c r="BG40" s="10"/>
      <c r="BH40" s="9"/>
      <c r="BI40" s="9"/>
      <c r="BJ40" s="9"/>
      <c r="BK40" s="9"/>
      <c r="BL40" s="10"/>
      <c r="BM40" s="9"/>
      <c r="BN40" s="9"/>
      <c r="BO40" s="10"/>
      <c r="BP40" s="9"/>
      <c r="BQ40" s="9"/>
      <c r="BR40" s="9"/>
      <c r="BS40" s="9"/>
      <c r="BT40" s="9"/>
      <c r="BU40" s="9"/>
      <c r="BV40" s="10"/>
      <c r="BW40" s="9"/>
      <c r="BX40" s="9"/>
      <c r="BY40" s="9"/>
      <c r="BZ40" s="9"/>
      <c r="CA40" s="10"/>
      <c r="CB40" s="10"/>
      <c r="CC40" s="9"/>
      <c r="CD40" s="10"/>
      <c r="CE40" s="10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2">
        <f t="shared" si="1"/>
        <v>0</v>
      </c>
      <c r="CV40" s="2" t="str">
        <f t="shared" si="0"/>
        <v>ALTA</v>
      </c>
      <c r="CW40" s="2">
        <f t="shared" si="2"/>
        <v>0</v>
      </c>
      <c r="CX40" s="2" t="str">
        <f t="shared" si="3"/>
        <v>ALTA</v>
      </c>
    </row>
    <row r="41" spans="1:11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10"/>
      <c r="CB41" s="10"/>
      <c r="CC41" s="9"/>
      <c r="CD41" s="10"/>
      <c r="CE41" s="10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2">
        <f t="shared" si="1"/>
        <v>0</v>
      </c>
      <c r="CV41" s="2" t="str">
        <f t="shared" si="0"/>
        <v>ALTA</v>
      </c>
      <c r="CW41" s="2">
        <f t="shared" si="2"/>
        <v>0</v>
      </c>
      <c r="CX41" s="2" t="str">
        <f t="shared" si="3"/>
        <v>ALTA</v>
      </c>
    </row>
    <row r="42" spans="1:11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10"/>
      <c r="CB42" s="10"/>
      <c r="CC42" s="9"/>
      <c r="CD42" s="10"/>
      <c r="CE42" s="10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2">
        <f t="shared" si="1"/>
        <v>0</v>
      </c>
      <c r="CV42" s="2" t="str">
        <f t="shared" si="0"/>
        <v>ALTA</v>
      </c>
      <c r="CW42" s="2">
        <f t="shared" si="2"/>
        <v>0</v>
      </c>
      <c r="CX42" s="2" t="str">
        <f t="shared" si="3"/>
        <v>ALTA</v>
      </c>
    </row>
    <row r="43" spans="1:110" x14ac:dyDescent="0.25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10"/>
      <c r="AY43" s="10"/>
      <c r="AZ43" s="9"/>
      <c r="BA43" s="9"/>
      <c r="BB43" s="10"/>
      <c r="BC43" s="9"/>
      <c r="BD43" s="9"/>
      <c r="BE43" s="9"/>
      <c r="BF43" s="9"/>
      <c r="BG43" s="10"/>
      <c r="BH43" s="9"/>
      <c r="BI43" s="9"/>
      <c r="BJ43" s="9"/>
      <c r="BK43" s="9"/>
      <c r="BL43" s="10"/>
      <c r="BM43" s="9"/>
      <c r="BN43" s="9"/>
      <c r="BO43" s="10"/>
      <c r="BP43" s="9"/>
      <c r="BQ43" s="9"/>
      <c r="BR43" s="9"/>
      <c r="BS43" s="9"/>
      <c r="BT43" s="9"/>
      <c r="BU43" s="9"/>
      <c r="BV43" s="10"/>
      <c r="BW43" s="9"/>
      <c r="BX43" s="9"/>
      <c r="BY43" s="9"/>
      <c r="BZ43" s="9"/>
      <c r="CA43" s="10"/>
      <c r="CB43" s="10"/>
      <c r="CC43" s="9"/>
      <c r="CD43" s="10"/>
      <c r="CE43" s="10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2">
        <f t="shared" si="1"/>
        <v>0</v>
      </c>
      <c r="CV43" s="2" t="str">
        <f t="shared" si="0"/>
        <v>ALTA</v>
      </c>
      <c r="CW43" s="2">
        <f t="shared" si="2"/>
        <v>0</v>
      </c>
      <c r="CX43" s="2" t="str">
        <f t="shared" si="3"/>
        <v>ALTA</v>
      </c>
    </row>
    <row r="44" spans="1:110" x14ac:dyDescent="0.25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10"/>
      <c r="AY44" s="10"/>
      <c r="AZ44" s="9"/>
      <c r="BA44" s="9"/>
      <c r="BB44" s="10"/>
      <c r="BC44" s="9"/>
      <c r="BD44" s="9"/>
      <c r="BE44" s="9"/>
      <c r="BF44" s="9"/>
      <c r="BG44" s="10"/>
      <c r="BH44" s="9"/>
      <c r="BI44" s="9"/>
      <c r="BJ44" s="9"/>
      <c r="BK44" s="9"/>
      <c r="BL44" s="10"/>
      <c r="BM44" s="9"/>
      <c r="BN44" s="9"/>
      <c r="BO44" s="10"/>
      <c r="BP44" s="9"/>
      <c r="BQ44" s="9"/>
      <c r="BR44" s="9"/>
      <c r="BS44" s="9"/>
      <c r="BT44" s="9"/>
      <c r="BU44" s="9"/>
      <c r="BV44" s="10"/>
      <c r="BW44" s="9"/>
      <c r="BX44" s="9"/>
      <c r="BY44" s="10"/>
      <c r="BZ44" s="9"/>
      <c r="CA44" s="10"/>
      <c r="CB44" s="10"/>
      <c r="CC44" s="9"/>
      <c r="CD44" s="10"/>
      <c r="CE44" s="10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2">
        <f t="shared" si="1"/>
        <v>0</v>
      </c>
      <c r="CV44" s="2" t="str">
        <f t="shared" si="0"/>
        <v>ALTA</v>
      </c>
      <c r="CW44" s="2">
        <f t="shared" si="2"/>
        <v>0</v>
      </c>
      <c r="CX44" s="2" t="str">
        <f t="shared" si="3"/>
        <v>ALTA</v>
      </c>
    </row>
    <row r="45" spans="1:110" x14ac:dyDescent="0.25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10"/>
      <c r="AY45" s="10"/>
      <c r="AZ45" s="9"/>
      <c r="BA45" s="9"/>
      <c r="BB45" s="9"/>
      <c r="BC45" s="9"/>
      <c r="BD45" s="9"/>
      <c r="BE45" s="9"/>
      <c r="BF45" s="9"/>
      <c r="BG45" s="10"/>
      <c r="BH45" s="9"/>
      <c r="BI45" s="9"/>
      <c r="BJ45" s="9"/>
      <c r="BK45" s="9"/>
      <c r="BL45" s="10"/>
      <c r="BM45" s="9"/>
      <c r="BN45" s="9"/>
      <c r="BO45" s="10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10"/>
      <c r="CB45" s="10"/>
      <c r="CC45" s="9"/>
      <c r="CD45" s="10"/>
      <c r="CE45" s="10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2">
        <f t="shared" si="1"/>
        <v>0</v>
      </c>
      <c r="CV45" s="2" t="str">
        <f t="shared" si="0"/>
        <v>ALTA</v>
      </c>
      <c r="CW45" s="2">
        <f t="shared" si="2"/>
        <v>0</v>
      </c>
      <c r="CX45" s="2" t="str">
        <f t="shared" si="3"/>
        <v>ALTA</v>
      </c>
    </row>
    <row r="46" spans="1:110" x14ac:dyDescent="0.25">
      <c r="A46" s="12"/>
      <c r="B46" s="13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3"/>
      <c r="AX46" s="13"/>
      <c r="AY46" s="12"/>
      <c r="AZ46" s="12"/>
      <c r="BA46" s="13"/>
      <c r="BB46" s="12"/>
      <c r="BC46" s="12"/>
      <c r="BD46" s="12"/>
      <c r="BE46" s="12"/>
      <c r="BF46" s="13"/>
      <c r="BG46" s="12"/>
      <c r="BH46" s="12"/>
      <c r="BI46" s="12"/>
      <c r="BJ46" s="12"/>
      <c r="BK46" s="13"/>
      <c r="BL46" s="12"/>
      <c r="BM46" s="12"/>
      <c r="BN46" s="13"/>
      <c r="BO46" s="12"/>
      <c r="BP46" s="12"/>
      <c r="BQ46" s="12"/>
      <c r="BR46" s="12"/>
      <c r="BS46" s="12"/>
      <c r="BT46" s="12"/>
      <c r="BU46" s="14"/>
      <c r="BV46" s="13"/>
      <c r="BW46" s="12"/>
      <c r="BX46" s="12"/>
      <c r="BY46" s="12"/>
      <c r="BZ46" s="13"/>
      <c r="CA46" s="13"/>
      <c r="CB46" s="13"/>
      <c r="CC46" s="12"/>
      <c r="CD46" s="13"/>
      <c r="CE46" s="13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9"/>
      <c r="CR46" s="12"/>
      <c r="CS46" s="12"/>
      <c r="CT46" s="12"/>
      <c r="CU46" s="2">
        <f t="shared" si="1"/>
        <v>0</v>
      </c>
      <c r="CV46" s="2" t="str">
        <f t="shared" si="0"/>
        <v>ALTA</v>
      </c>
      <c r="CW46" s="2">
        <f t="shared" si="2"/>
        <v>0</v>
      </c>
      <c r="CX46" s="2" t="str">
        <f t="shared" si="3"/>
        <v>ALTA</v>
      </c>
    </row>
    <row r="47" spans="1:110" x14ac:dyDescent="0.25">
      <c r="A47" s="12"/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4"/>
      <c r="BV47" s="13"/>
      <c r="BW47" s="12"/>
      <c r="BX47" s="12"/>
      <c r="BY47" s="12"/>
      <c r="BZ47" s="13"/>
      <c r="CA47" s="13"/>
      <c r="CB47" s="13"/>
      <c r="CC47" s="12"/>
      <c r="CD47" s="13"/>
      <c r="CE47" s="13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2">
        <f t="shared" si="1"/>
        <v>0</v>
      </c>
      <c r="CV47" s="2" t="str">
        <f t="shared" si="0"/>
        <v>ALTA</v>
      </c>
      <c r="CW47" s="2">
        <f t="shared" si="2"/>
        <v>0</v>
      </c>
      <c r="CX47" s="2" t="str">
        <f t="shared" si="3"/>
        <v>ALTA</v>
      </c>
    </row>
    <row r="48" spans="1:110" x14ac:dyDescent="0.25">
      <c r="A48" s="12"/>
      <c r="B48" s="13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4"/>
      <c r="BV48" s="13"/>
      <c r="BW48" s="12"/>
      <c r="BX48" s="12"/>
      <c r="BY48" s="12"/>
      <c r="BZ48" s="13"/>
      <c r="CA48" s="13"/>
      <c r="CB48" s="13"/>
      <c r="CC48" s="12"/>
      <c r="CD48" s="13"/>
      <c r="CE48" s="13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2">
        <f t="shared" si="1"/>
        <v>0</v>
      </c>
      <c r="CV48" s="2" t="str">
        <f t="shared" si="0"/>
        <v>ALTA</v>
      </c>
      <c r="CW48" s="2">
        <f t="shared" si="2"/>
        <v>0</v>
      </c>
      <c r="CX48" s="2" t="str">
        <f t="shared" si="3"/>
        <v>ALTA</v>
      </c>
    </row>
    <row r="49" spans="1:102" x14ac:dyDescent="0.25">
      <c r="A49" s="12"/>
      <c r="B49" s="13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3"/>
      <c r="AX49" s="13"/>
      <c r="AY49" s="12"/>
      <c r="AZ49" s="12"/>
      <c r="BA49" s="13"/>
      <c r="BB49" s="12"/>
      <c r="BC49" s="12"/>
      <c r="BD49" s="12"/>
      <c r="BE49" s="12"/>
      <c r="BF49" s="13"/>
      <c r="BG49" s="12"/>
      <c r="BH49" s="12"/>
      <c r="BI49" s="12"/>
      <c r="BJ49" s="12"/>
      <c r="BK49" s="13"/>
      <c r="BL49" s="12"/>
      <c r="BM49" s="12"/>
      <c r="BN49" s="13"/>
      <c r="BO49" s="12"/>
      <c r="BP49" s="12"/>
      <c r="BQ49" s="12"/>
      <c r="BR49" s="12"/>
      <c r="BS49" s="12"/>
      <c r="BT49" s="12"/>
      <c r="BU49" s="14"/>
      <c r="BV49" s="13"/>
      <c r="BW49" s="12"/>
      <c r="BX49" s="12"/>
      <c r="BY49" s="12"/>
      <c r="BZ49" s="13"/>
      <c r="CA49" s="13"/>
      <c r="CB49" s="13"/>
      <c r="CC49" s="13"/>
      <c r="CD49" s="13"/>
      <c r="CE49" s="13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2">
        <f t="shared" si="1"/>
        <v>0</v>
      </c>
      <c r="CV49" s="2" t="str">
        <f t="shared" si="0"/>
        <v>ALTA</v>
      </c>
      <c r="CW49" s="2">
        <f t="shared" si="2"/>
        <v>0</v>
      </c>
      <c r="CX49" s="2" t="str">
        <f t="shared" si="3"/>
        <v>ALTA</v>
      </c>
    </row>
    <row r="50" spans="1:102" x14ac:dyDescent="0.25">
      <c r="A50" s="12"/>
      <c r="B50" s="13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3"/>
      <c r="AX50" s="13"/>
      <c r="AY50" s="12"/>
      <c r="AZ50" s="12"/>
      <c r="BA50" s="12"/>
      <c r="BB50" s="12"/>
      <c r="BC50" s="12"/>
      <c r="BD50" s="12"/>
      <c r="BE50" s="12"/>
      <c r="BF50" s="13"/>
      <c r="BG50" s="12"/>
      <c r="BH50" s="12"/>
      <c r="BI50" s="12"/>
      <c r="BJ50" s="12"/>
      <c r="BK50" s="13"/>
      <c r="BL50" s="12"/>
      <c r="BM50" s="12"/>
      <c r="BN50" s="13"/>
      <c r="BO50" s="12"/>
      <c r="BP50" s="12"/>
      <c r="BQ50" s="12"/>
      <c r="BR50" s="12"/>
      <c r="BS50" s="12"/>
      <c r="BT50" s="12"/>
      <c r="BU50" s="14"/>
      <c r="BV50" s="13"/>
      <c r="BW50" s="12"/>
      <c r="BX50" s="12"/>
      <c r="BY50" s="12"/>
      <c r="BZ50" s="13"/>
      <c r="CA50" s="13"/>
      <c r="CB50" s="13"/>
      <c r="CC50" s="13"/>
      <c r="CD50" s="13"/>
      <c r="CE50" s="13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9"/>
      <c r="CR50" s="12"/>
      <c r="CS50" s="12"/>
      <c r="CT50" s="12"/>
      <c r="CU50" s="2">
        <f t="shared" si="1"/>
        <v>0</v>
      </c>
      <c r="CV50" s="2" t="str">
        <f t="shared" si="0"/>
        <v>ALTA</v>
      </c>
      <c r="CW50" s="2">
        <f t="shared" si="2"/>
        <v>0</v>
      </c>
      <c r="CX50" s="2" t="str">
        <f t="shared" si="3"/>
        <v>ALTA</v>
      </c>
    </row>
    <row r="51" spans="1:102" x14ac:dyDescent="0.25">
      <c r="A51" s="12"/>
      <c r="B51" s="13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3"/>
      <c r="AX51" s="13"/>
      <c r="AY51" s="12"/>
      <c r="AZ51" s="12"/>
      <c r="BA51" s="12"/>
      <c r="BB51" s="12"/>
      <c r="BC51" s="12"/>
      <c r="BD51" s="12"/>
      <c r="BE51" s="12"/>
      <c r="BF51" s="13"/>
      <c r="BG51" s="12"/>
      <c r="BH51" s="12"/>
      <c r="BI51" s="12"/>
      <c r="BJ51" s="12"/>
      <c r="BK51" s="13"/>
      <c r="BL51" s="12"/>
      <c r="BM51" s="12"/>
      <c r="BN51" s="13"/>
      <c r="BO51" s="12"/>
      <c r="BP51" s="12"/>
      <c r="BQ51" s="12"/>
      <c r="BR51" s="12"/>
      <c r="BS51" s="12"/>
      <c r="BT51" s="12"/>
      <c r="BU51" s="14"/>
      <c r="BV51" s="13"/>
      <c r="BW51" s="12"/>
      <c r="BX51" s="12"/>
      <c r="BY51" s="12"/>
      <c r="BZ51" s="13"/>
      <c r="CA51" s="13"/>
      <c r="CB51" s="13"/>
      <c r="CC51" s="13"/>
      <c r="CD51" s="13"/>
      <c r="CE51" s="13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2">
        <f t="shared" si="1"/>
        <v>0</v>
      </c>
      <c r="CV51" s="2" t="str">
        <f t="shared" si="0"/>
        <v>ALTA</v>
      </c>
      <c r="CW51" s="2">
        <f t="shared" si="2"/>
        <v>0</v>
      </c>
      <c r="CX51" s="2" t="str">
        <f t="shared" si="3"/>
        <v>ALTA</v>
      </c>
    </row>
    <row r="52" spans="1:102" x14ac:dyDescent="0.25">
      <c r="A52" s="12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3"/>
      <c r="AX52" s="13"/>
      <c r="AY52" s="12"/>
      <c r="AZ52" s="12"/>
      <c r="BA52" s="13"/>
      <c r="BB52" s="12"/>
      <c r="BC52" s="12"/>
      <c r="BD52" s="12"/>
      <c r="BE52" s="12"/>
      <c r="BF52" s="13"/>
      <c r="BG52" s="12"/>
      <c r="BH52" s="12"/>
      <c r="BI52" s="12"/>
      <c r="BJ52" s="12"/>
      <c r="BK52" s="13"/>
      <c r="BL52" s="12"/>
      <c r="BM52" s="12"/>
      <c r="BN52" s="13"/>
      <c r="BO52" s="12"/>
      <c r="BP52" s="12"/>
      <c r="BQ52" s="12"/>
      <c r="BR52" s="12"/>
      <c r="BS52" s="12"/>
      <c r="BT52" s="12"/>
      <c r="BU52" s="14"/>
      <c r="BV52" s="13"/>
      <c r="BW52" s="12"/>
      <c r="BX52" s="12"/>
      <c r="BY52" s="12"/>
      <c r="BZ52" s="13"/>
      <c r="CA52" s="13"/>
      <c r="CB52" s="13"/>
      <c r="CC52" s="13"/>
      <c r="CD52" s="13"/>
      <c r="CE52" s="13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2">
        <f t="shared" si="1"/>
        <v>0</v>
      </c>
      <c r="CV52" s="2" t="str">
        <f t="shared" si="0"/>
        <v>ALTA</v>
      </c>
      <c r="CW52" s="2">
        <f t="shared" si="2"/>
        <v>0</v>
      </c>
      <c r="CX52" s="2" t="str">
        <f t="shared" si="3"/>
        <v>ALTA</v>
      </c>
    </row>
    <row r="53" spans="1:102" x14ac:dyDescent="0.25">
      <c r="A53" s="12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3"/>
      <c r="AX53" s="13"/>
      <c r="AY53" s="12"/>
      <c r="AZ53" s="12"/>
      <c r="BA53" s="13"/>
      <c r="BB53" s="12"/>
      <c r="BC53" s="12"/>
      <c r="BD53" s="12"/>
      <c r="BE53" s="12"/>
      <c r="BF53" s="13"/>
      <c r="BG53" s="13"/>
      <c r="BH53" s="12"/>
      <c r="BI53" s="12"/>
      <c r="BJ53" s="12"/>
      <c r="BK53" s="13"/>
      <c r="BL53" s="12"/>
      <c r="BM53" s="12"/>
      <c r="BN53" s="13"/>
      <c r="BO53" s="12"/>
      <c r="BP53" s="12"/>
      <c r="BQ53" s="12"/>
      <c r="BR53" s="12"/>
      <c r="BS53" s="12"/>
      <c r="BT53" s="12"/>
      <c r="BU53" s="14"/>
      <c r="BV53" s="13"/>
      <c r="BW53" s="12"/>
      <c r="BX53" s="12"/>
      <c r="BY53" s="12"/>
      <c r="BZ53" s="13"/>
      <c r="CA53" s="13"/>
      <c r="CB53" s="13"/>
      <c r="CC53" s="13"/>
      <c r="CD53" s="13"/>
      <c r="CE53" s="13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2">
        <f t="shared" si="1"/>
        <v>0</v>
      </c>
      <c r="CV53" s="2" t="str">
        <f t="shared" si="0"/>
        <v>ALTA</v>
      </c>
      <c r="CW53" s="2">
        <f t="shared" si="2"/>
        <v>0</v>
      </c>
      <c r="CX53" s="2" t="str">
        <f t="shared" si="3"/>
        <v>ALTA</v>
      </c>
    </row>
    <row r="54" spans="1:102" x14ac:dyDescent="0.25">
      <c r="A54" s="12"/>
      <c r="B54" s="13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3"/>
      <c r="AX54" s="13"/>
      <c r="AY54" s="12"/>
      <c r="AZ54" s="12"/>
      <c r="BA54" s="12"/>
      <c r="BB54" s="12"/>
      <c r="BC54" s="12"/>
      <c r="BD54" s="12"/>
      <c r="BE54" s="12"/>
      <c r="BF54" s="13"/>
      <c r="BG54" s="13"/>
      <c r="BH54" s="12"/>
      <c r="BI54" s="12"/>
      <c r="BJ54" s="12"/>
      <c r="BK54" s="13"/>
      <c r="BL54" s="12"/>
      <c r="BM54" s="12"/>
      <c r="BN54" s="13"/>
      <c r="BO54" s="12"/>
      <c r="BP54" s="12"/>
      <c r="BQ54" s="12"/>
      <c r="BR54" s="12"/>
      <c r="BS54" s="12"/>
      <c r="BT54" s="12"/>
      <c r="BU54" s="14"/>
      <c r="BV54" s="13"/>
      <c r="BW54" s="12"/>
      <c r="BX54" s="12"/>
      <c r="BY54" s="12"/>
      <c r="BZ54" s="13"/>
      <c r="CA54" s="13"/>
      <c r="CB54" s="13"/>
      <c r="CC54" s="13"/>
      <c r="CD54" s="13"/>
      <c r="CE54" s="13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2">
        <f t="shared" si="1"/>
        <v>0</v>
      </c>
      <c r="CV54" s="2" t="str">
        <f t="shared" si="0"/>
        <v>ALTA</v>
      </c>
      <c r="CW54" s="2">
        <f t="shared" si="2"/>
        <v>0</v>
      </c>
      <c r="CX54" s="2" t="str">
        <f t="shared" si="3"/>
        <v>ALTA</v>
      </c>
    </row>
    <row r="55" spans="1:102" x14ac:dyDescent="0.25">
      <c r="A55" s="12"/>
      <c r="B55" s="13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3"/>
      <c r="AX55" s="13"/>
      <c r="AY55" s="12"/>
      <c r="AZ55" s="12"/>
      <c r="BA55" s="12"/>
      <c r="BB55" s="12"/>
      <c r="BC55" s="12"/>
      <c r="BD55" s="12"/>
      <c r="BE55" s="12"/>
      <c r="BF55" s="13"/>
      <c r="BG55" s="13"/>
      <c r="BH55" s="12"/>
      <c r="BI55" s="12"/>
      <c r="BJ55" s="12"/>
      <c r="BK55" s="13"/>
      <c r="BL55" s="12"/>
      <c r="BM55" s="12"/>
      <c r="BN55" s="13"/>
      <c r="BO55" s="12"/>
      <c r="BP55" s="12"/>
      <c r="BQ55" s="12"/>
      <c r="BR55" s="12"/>
      <c r="BS55" s="12"/>
      <c r="BT55" s="12"/>
      <c r="BU55" s="14"/>
      <c r="BV55" s="13"/>
      <c r="BW55" s="12"/>
      <c r="BX55" s="12"/>
      <c r="BY55" s="12"/>
      <c r="BZ55" s="13"/>
      <c r="CA55" s="13"/>
      <c r="CB55" s="13"/>
      <c r="CC55" s="12"/>
      <c r="CD55" s="13"/>
      <c r="CE55" s="13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2">
        <f t="shared" si="1"/>
        <v>0</v>
      </c>
      <c r="CV55" s="2" t="str">
        <f t="shared" si="0"/>
        <v>ALTA</v>
      </c>
      <c r="CW55" s="2">
        <f t="shared" si="2"/>
        <v>0</v>
      </c>
      <c r="CX55" s="2" t="str">
        <f t="shared" si="3"/>
        <v>ALTA</v>
      </c>
    </row>
    <row r="56" spans="1:102" x14ac:dyDescent="0.25">
      <c r="A56" s="12"/>
      <c r="B56" s="13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3"/>
      <c r="AX56" s="13"/>
      <c r="AY56" s="12"/>
      <c r="AZ56" s="12"/>
      <c r="BA56" s="13"/>
      <c r="BB56" s="12"/>
      <c r="BC56" s="12"/>
      <c r="BD56" s="12"/>
      <c r="BE56" s="12"/>
      <c r="BF56" s="13"/>
      <c r="BG56" s="13"/>
      <c r="BH56" s="12"/>
      <c r="BI56" s="12"/>
      <c r="BJ56" s="12"/>
      <c r="BK56" s="13"/>
      <c r="BL56" s="12"/>
      <c r="BM56" s="12"/>
      <c r="BN56" s="13"/>
      <c r="BO56" s="12"/>
      <c r="BP56" s="12"/>
      <c r="BQ56" s="12"/>
      <c r="BR56" s="12"/>
      <c r="BS56" s="12"/>
      <c r="BT56" s="12"/>
      <c r="BU56" s="14"/>
      <c r="BV56" s="13"/>
      <c r="BW56" s="12"/>
      <c r="BX56" s="12"/>
      <c r="BY56" s="12"/>
      <c r="BZ56" s="13"/>
      <c r="CA56" s="13"/>
      <c r="CB56" s="13"/>
      <c r="CC56" s="13"/>
      <c r="CD56" s="13"/>
      <c r="CE56" s="13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2">
        <f t="shared" si="1"/>
        <v>0</v>
      </c>
      <c r="CV56" s="2" t="str">
        <f t="shared" si="0"/>
        <v>ALTA</v>
      </c>
      <c r="CW56" s="2">
        <f t="shared" si="2"/>
        <v>0</v>
      </c>
      <c r="CX56" s="2" t="str">
        <f t="shared" si="3"/>
        <v>ALTA</v>
      </c>
    </row>
    <row r="57" spans="1:102" x14ac:dyDescent="0.25">
      <c r="A57" s="12"/>
      <c r="B57" s="13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3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4"/>
      <c r="BV57" s="13"/>
      <c r="BW57" s="12"/>
      <c r="BX57" s="12"/>
      <c r="BY57" s="12"/>
      <c r="BZ57" s="13"/>
      <c r="CA57" s="13"/>
      <c r="CB57" s="13"/>
      <c r="CC57" s="12"/>
      <c r="CD57" s="13"/>
      <c r="CE57" s="13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2">
        <f t="shared" si="1"/>
        <v>0</v>
      </c>
      <c r="CV57" s="2" t="str">
        <f t="shared" si="0"/>
        <v>ALTA</v>
      </c>
      <c r="CW57" s="2">
        <f t="shared" si="2"/>
        <v>0</v>
      </c>
      <c r="CX57" s="2" t="str">
        <f t="shared" si="3"/>
        <v>ALTA</v>
      </c>
    </row>
    <row r="58" spans="1:102" x14ac:dyDescent="0.25">
      <c r="A58" s="12"/>
      <c r="B58" s="13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3"/>
      <c r="AX58" s="13"/>
      <c r="AY58" s="12"/>
      <c r="AZ58" s="12"/>
      <c r="BA58" s="13"/>
      <c r="BB58" s="12"/>
      <c r="BC58" s="14"/>
      <c r="BD58" s="12"/>
      <c r="BE58" s="12"/>
      <c r="BF58" s="13"/>
      <c r="BG58" s="13"/>
      <c r="BH58" s="12"/>
      <c r="BI58" s="12"/>
      <c r="BJ58" s="12"/>
      <c r="BK58" s="13"/>
      <c r="BL58" s="12"/>
      <c r="BM58" s="12"/>
      <c r="BN58" s="13"/>
      <c r="BO58" s="12"/>
      <c r="BP58" s="12"/>
      <c r="BQ58" s="12"/>
      <c r="BR58" s="12"/>
      <c r="BS58" s="12"/>
      <c r="BT58" s="12"/>
      <c r="BU58" s="14"/>
      <c r="BV58" s="13"/>
      <c r="BW58" s="12"/>
      <c r="BX58" s="12"/>
      <c r="BY58" s="12"/>
      <c r="BZ58" s="13"/>
      <c r="CA58" s="13"/>
      <c r="CB58" s="13"/>
      <c r="CC58" s="13"/>
      <c r="CD58" s="13"/>
      <c r="CE58" s="13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2">
        <f t="shared" si="1"/>
        <v>0</v>
      </c>
      <c r="CV58" s="2" t="str">
        <f t="shared" si="0"/>
        <v>ALTA</v>
      </c>
      <c r="CW58" s="2">
        <f t="shared" si="2"/>
        <v>0</v>
      </c>
      <c r="CX58" s="2" t="str">
        <f t="shared" si="3"/>
        <v>ALTA</v>
      </c>
    </row>
    <row r="59" spans="1:102" x14ac:dyDescent="0.25">
      <c r="A59" s="12"/>
      <c r="B59" s="1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3"/>
      <c r="AX59" s="13"/>
      <c r="AY59" s="12"/>
      <c r="AZ59" s="12"/>
      <c r="BA59" s="13"/>
      <c r="BB59" s="12"/>
      <c r="BC59" s="14"/>
      <c r="BD59" s="12"/>
      <c r="BE59" s="12"/>
      <c r="BF59" s="13"/>
      <c r="BG59" s="13"/>
      <c r="BH59" s="12"/>
      <c r="BI59" s="12"/>
      <c r="BJ59" s="12"/>
      <c r="BK59" s="13"/>
      <c r="BL59" s="12"/>
      <c r="BM59" s="12"/>
      <c r="BN59" s="13"/>
      <c r="BO59" s="12"/>
      <c r="BP59" s="12"/>
      <c r="BQ59" s="12"/>
      <c r="BR59" s="12"/>
      <c r="BS59" s="12"/>
      <c r="BT59" s="12"/>
      <c r="BU59" s="14"/>
      <c r="BV59" s="13"/>
      <c r="BW59" s="12"/>
      <c r="BX59" s="12"/>
      <c r="BY59" s="12"/>
      <c r="BZ59" s="13"/>
      <c r="CA59" s="13"/>
      <c r="CB59" s="13"/>
      <c r="CC59" s="13"/>
      <c r="CD59" s="13"/>
      <c r="CE59" s="13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2">
        <f t="shared" si="1"/>
        <v>0</v>
      </c>
      <c r="CV59" s="2" t="str">
        <f t="shared" si="0"/>
        <v>ALTA</v>
      </c>
      <c r="CW59" s="2">
        <f t="shared" si="2"/>
        <v>0</v>
      </c>
      <c r="CX59" s="2" t="str">
        <f t="shared" si="3"/>
        <v>ALTA</v>
      </c>
    </row>
    <row r="60" spans="1:102" x14ac:dyDescent="0.25">
      <c r="A60" s="12"/>
      <c r="B60" s="13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3"/>
      <c r="AX60" s="13"/>
      <c r="AY60" s="12"/>
      <c r="AZ60" s="12"/>
      <c r="BA60" s="12"/>
      <c r="BB60" s="12"/>
      <c r="BC60" s="14"/>
      <c r="BD60" s="12"/>
      <c r="BE60" s="12"/>
      <c r="BF60" s="13"/>
      <c r="BG60" s="13"/>
      <c r="BH60" s="12"/>
      <c r="BI60" s="12"/>
      <c r="BJ60" s="12"/>
      <c r="BK60" s="13"/>
      <c r="BL60" s="12"/>
      <c r="BM60" s="12"/>
      <c r="BN60" s="13"/>
      <c r="BO60" s="12"/>
      <c r="BP60" s="12"/>
      <c r="BQ60" s="12"/>
      <c r="BR60" s="12"/>
      <c r="BS60" s="12"/>
      <c r="BT60" s="12"/>
      <c r="BU60" s="14"/>
      <c r="BV60" s="13"/>
      <c r="BW60" s="12"/>
      <c r="BX60" s="12"/>
      <c r="BY60" s="12"/>
      <c r="BZ60" s="13"/>
      <c r="CA60" s="13"/>
      <c r="CB60" s="13"/>
      <c r="CC60" s="13"/>
      <c r="CD60" s="13"/>
      <c r="CE60" s="13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2">
        <f t="shared" si="1"/>
        <v>0</v>
      </c>
      <c r="CV60" s="2" t="str">
        <f t="shared" si="0"/>
        <v>ALTA</v>
      </c>
      <c r="CW60" s="2">
        <f t="shared" si="2"/>
        <v>0</v>
      </c>
      <c r="CX60" s="2" t="str">
        <f t="shared" si="3"/>
        <v>ALTA</v>
      </c>
    </row>
    <row r="61" spans="1:102" x14ac:dyDescent="0.25">
      <c r="A61" s="12"/>
      <c r="B61" s="13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3"/>
      <c r="AX61" s="13"/>
      <c r="AY61" s="12"/>
      <c r="AZ61" s="12"/>
      <c r="BA61" s="13"/>
      <c r="BB61" s="12"/>
      <c r="BC61" s="14"/>
      <c r="BD61" s="12"/>
      <c r="BE61" s="12"/>
      <c r="BF61" s="13"/>
      <c r="BG61" s="13"/>
      <c r="BH61" s="12"/>
      <c r="BI61" s="12"/>
      <c r="BJ61" s="12"/>
      <c r="BK61" s="13"/>
      <c r="BL61" s="12"/>
      <c r="BM61" s="12"/>
      <c r="BN61" s="13"/>
      <c r="BO61" s="12"/>
      <c r="BP61" s="12"/>
      <c r="BQ61" s="12"/>
      <c r="BR61" s="12"/>
      <c r="BS61" s="12"/>
      <c r="BT61" s="12"/>
      <c r="BU61" s="14"/>
      <c r="BV61" s="13"/>
      <c r="BW61" s="12"/>
      <c r="BX61" s="12"/>
      <c r="BY61" s="12"/>
      <c r="BZ61" s="13"/>
      <c r="CA61" s="13"/>
      <c r="CB61" s="13"/>
      <c r="CC61" s="13"/>
      <c r="CD61" s="13"/>
      <c r="CE61" s="13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2">
        <f t="shared" si="1"/>
        <v>0</v>
      </c>
      <c r="CV61" s="2" t="str">
        <f t="shared" si="0"/>
        <v>ALTA</v>
      </c>
      <c r="CW61" s="2">
        <f t="shared" si="2"/>
        <v>0</v>
      </c>
      <c r="CX61" s="2" t="str">
        <f t="shared" si="3"/>
        <v>ALTA</v>
      </c>
    </row>
    <row r="62" spans="1:102" x14ac:dyDescent="0.25">
      <c r="A62" s="12"/>
      <c r="B62" s="13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4"/>
      <c r="BD62" s="12"/>
      <c r="BE62" s="12"/>
      <c r="BF62" s="12"/>
      <c r="BG62" s="13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4"/>
      <c r="BV62" s="13"/>
      <c r="BW62" s="12"/>
      <c r="BX62" s="12"/>
      <c r="BY62" s="12"/>
      <c r="BZ62" s="13"/>
      <c r="CA62" s="13"/>
      <c r="CB62" s="13"/>
      <c r="CC62" s="12"/>
      <c r="CD62" s="13"/>
      <c r="CE62" s="13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2">
        <f t="shared" si="1"/>
        <v>0</v>
      </c>
      <c r="CV62" s="2" t="str">
        <f t="shared" si="0"/>
        <v>ALTA</v>
      </c>
      <c r="CW62" s="2">
        <f t="shared" si="2"/>
        <v>0</v>
      </c>
      <c r="CX62" s="2" t="str">
        <f t="shared" si="3"/>
        <v>ALTA</v>
      </c>
    </row>
    <row r="63" spans="1:102" x14ac:dyDescent="0.25">
      <c r="A63" s="12"/>
      <c r="B63" s="13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3"/>
      <c r="AX63" s="13"/>
      <c r="AY63" s="12"/>
      <c r="AZ63" s="12"/>
      <c r="BA63" s="13"/>
      <c r="BB63" s="12"/>
      <c r="BC63" s="14"/>
      <c r="BD63" s="12"/>
      <c r="BE63" s="12"/>
      <c r="BF63" s="13"/>
      <c r="BG63" s="13"/>
      <c r="BH63" s="12"/>
      <c r="BI63" s="12"/>
      <c r="BJ63" s="12"/>
      <c r="BK63" s="13"/>
      <c r="BL63" s="12"/>
      <c r="BM63" s="12"/>
      <c r="BN63" s="13"/>
      <c r="BO63" s="12"/>
      <c r="BP63" s="12"/>
      <c r="BQ63" s="12"/>
      <c r="BR63" s="12"/>
      <c r="BS63" s="12"/>
      <c r="BT63" s="12"/>
      <c r="BU63" s="14"/>
      <c r="BV63" s="13"/>
      <c r="BW63" s="12"/>
      <c r="BX63" s="12"/>
      <c r="BY63" s="12"/>
      <c r="BZ63" s="13"/>
      <c r="CA63" s="13"/>
      <c r="CB63" s="13"/>
      <c r="CC63" s="12"/>
      <c r="CD63" s="13"/>
      <c r="CE63" s="13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2">
        <f t="shared" si="1"/>
        <v>0</v>
      </c>
      <c r="CV63" s="2" t="str">
        <f t="shared" si="0"/>
        <v>ALTA</v>
      </c>
      <c r="CW63" s="2">
        <f t="shared" si="2"/>
        <v>0</v>
      </c>
      <c r="CX63" s="2" t="str">
        <f t="shared" si="3"/>
        <v>ALTA</v>
      </c>
    </row>
    <row r="64" spans="1:102" x14ac:dyDescent="0.25">
      <c r="A64" s="12"/>
      <c r="B64" s="13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4"/>
      <c r="BD64" s="12"/>
      <c r="BE64" s="12"/>
      <c r="BF64" s="12"/>
      <c r="BG64" s="13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4"/>
      <c r="BV64" s="13"/>
      <c r="BW64" s="12"/>
      <c r="BX64" s="12"/>
      <c r="BY64" s="12"/>
      <c r="BZ64" s="13"/>
      <c r="CA64" s="13"/>
      <c r="CB64" s="13"/>
      <c r="CC64" s="12"/>
      <c r="CD64" s="13"/>
      <c r="CE64" s="13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2">
        <f t="shared" si="1"/>
        <v>0</v>
      </c>
      <c r="CV64" s="2" t="str">
        <f t="shared" si="0"/>
        <v>ALTA</v>
      </c>
      <c r="CW64" s="2">
        <f t="shared" si="2"/>
        <v>0</v>
      </c>
      <c r="CX64" s="2" t="str">
        <f t="shared" si="3"/>
        <v>ALTA</v>
      </c>
    </row>
    <row r="65" spans="1:102" x14ac:dyDescent="0.25">
      <c r="A65" s="12"/>
      <c r="B65" s="13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3"/>
      <c r="AX65" s="13"/>
      <c r="AY65" s="12"/>
      <c r="AZ65" s="12"/>
      <c r="BA65" s="13"/>
      <c r="BB65" s="12"/>
      <c r="BC65" s="14"/>
      <c r="BD65" s="12"/>
      <c r="BE65" s="12"/>
      <c r="BF65" s="13"/>
      <c r="BG65" s="13"/>
      <c r="BH65" s="12"/>
      <c r="BI65" s="12"/>
      <c r="BJ65" s="12"/>
      <c r="BK65" s="13"/>
      <c r="BL65" s="12"/>
      <c r="BM65" s="12"/>
      <c r="BN65" s="13"/>
      <c r="BO65" s="12"/>
      <c r="BP65" s="12"/>
      <c r="BQ65" s="12"/>
      <c r="BR65" s="12"/>
      <c r="BS65" s="12"/>
      <c r="BT65" s="12"/>
      <c r="BU65" s="14"/>
      <c r="BV65" s="13"/>
      <c r="BW65" s="12"/>
      <c r="BX65" s="12"/>
      <c r="BY65" s="12"/>
      <c r="BZ65" s="13"/>
      <c r="CA65" s="13"/>
      <c r="CB65" s="13"/>
      <c r="CC65" s="13"/>
      <c r="CD65" s="13"/>
      <c r="CE65" s="13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2">
        <f t="shared" si="1"/>
        <v>0</v>
      </c>
      <c r="CV65" s="2" t="str">
        <f t="shared" si="0"/>
        <v>ALTA</v>
      </c>
      <c r="CW65" s="2">
        <f t="shared" si="2"/>
        <v>0</v>
      </c>
      <c r="CX65" s="2" t="str">
        <f t="shared" si="3"/>
        <v>ALTA</v>
      </c>
    </row>
    <row r="66" spans="1:102" x14ac:dyDescent="0.25">
      <c r="A66" s="12"/>
      <c r="B66" s="13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3"/>
      <c r="AX66" s="13"/>
      <c r="AY66" s="12"/>
      <c r="AZ66" s="12"/>
      <c r="BA66" s="13"/>
      <c r="BB66" s="12"/>
      <c r="BC66" s="14"/>
      <c r="BD66" s="12"/>
      <c r="BE66" s="12"/>
      <c r="BF66" s="13"/>
      <c r="BG66" s="13"/>
      <c r="BH66" s="12"/>
      <c r="BI66" s="12"/>
      <c r="BJ66" s="12"/>
      <c r="BK66" s="13"/>
      <c r="BL66" s="12"/>
      <c r="BM66" s="12"/>
      <c r="BN66" s="13"/>
      <c r="BO66" s="12"/>
      <c r="BP66" s="12"/>
      <c r="BQ66" s="12"/>
      <c r="BR66" s="12"/>
      <c r="BS66" s="12"/>
      <c r="BT66" s="12"/>
      <c r="BU66" s="14"/>
      <c r="BV66" s="13"/>
      <c r="BW66" s="12"/>
      <c r="BX66" s="12"/>
      <c r="BY66" s="12"/>
      <c r="BZ66" s="13"/>
      <c r="CA66" s="13"/>
      <c r="CB66" s="13"/>
      <c r="CC66" s="13"/>
      <c r="CD66" s="13"/>
      <c r="CE66" s="13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2">
        <f t="shared" si="1"/>
        <v>0</v>
      </c>
      <c r="CV66" s="2" t="str">
        <f t="shared" ref="CV66:CV82" si="4">IF(ISERROR(CU66),"-",IF(CU66&lt;0,"ERROR",IF(CU66&lt;8,"ALTA",IF(CU66&lt;16,"MEDIA","BAJA"))))</f>
        <v>ALTA</v>
      </c>
      <c r="CW66" s="2">
        <f t="shared" si="2"/>
        <v>0</v>
      </c>
      <c r="CX66" s="2" t="str">
        <f t="shared" si="3"/>
        <v>ALTA</v>
      </c>
    </row>
    <row r="67" spans="1:102" x14ac:dyDescent="0.25">
      <c r="A67" s="12"/>
      <c r="B67" s="13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3"/>
      <c r="AX67" s="13"/>
      <c r="AY67" s="12"/>
      <c r="AZ67" s="12"/>
      <c r="BA67" s="13"/>
      <c r="BB67" s="12"/>
      <c r="BC67" s="14"/>
      <c r="BD67" s="12"/>
      <c r="BE67" s="12"/>
      <c r="BF67" s="13"/>
      <c r="BG67" s="13"/>
      <c r="BH67" s="12"/>
      <c r="BI67" s="12"/>
      <c r="BJ67" s="12"/>
      <c r="BK67" s="13"/>
      <c r="BL67" s="12"/>
      <c r="BM67" s="12"/>
      <c r="BN67" s="13"/>
      <c r="BO67" s="12"/>
      <c r="BP67" s="12"/>
      <c r="BQ67" s="12"/>
      <c r="BR67" s="12"/>
      <c r="BS67" s="12"/>
      <c r="BT67" s="12"/>
      <c r="BU67" s="14"/>
      <c r="BV67" s="13"/>
      <c r="BW67" s="12"/>
      <c r="BX67" s="12"/>
      <c r="BY67" s="12"/>
      <c r="BZ67" s="13"/>
      <c r="CA67" s="13"/>
      <c r="CB67" s="13"/>
      <c r="CC67" s="13"/>
      <c r="CD67" s="13"/>
      <c r="CE67" s="13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2">
        <f t="shared" ref="CU67:CU82" si="5">CB67-CA67</f>
        <v>0</v>
      </c>
      <c r="CV67" s="2" t="str">
        <f t="shared" si="4"/>
        <v>ALTA</v>
      </c>
      <c r="CW67" s="2">
        <f t="shared" ref="CW67:CW82" si="6">CE67-CD67</f>
        <v>0</v>
      </c>
      <c r="CX67" s="2" t="str">
        <f t="shared" ref="CX67:CX82" si="7">IF(ISERROR(CW67),"-",IF(CW67&lt;0,"ERROR",IF(CW67&lt;8,"ALTA",IF(CW67&lt;16,"MEDIA","BAJA"))))</f>
        <v>ALTA</v>
      </c>
    </row>
    <row r="68" spans="1:102" x14ac:dyDescent="0.25">
      <c r="A68" s="12"/>
      <c r="B68" s="13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3"/>
      <c r="AX68" s="13"/>
      <c r="AY68" s="12"/>
      <c r="AZ68" s="12"/>
      <c r="BA68" s="12"/>
      <c r="BB68" s="12"/>
      <c r="BC68" s="14"/>
      <c r="BD68" s="12"/>
      <c r="BE68" s="12"/>
      <c r="BF68" s="13"/>
      <c r="BG68" s="13"/>
      <c r="BH68" s="12"/>
      <c r="BI68" s="12"/>
      <c r="BJ68" s="12"/>
      <c r="BK68" s="13"/>
      <c r="BL68" s="12"/>
      <c r="BM68" s="12"/>
      <c r="BN68" s="13"/>
      <c r="BO68" s="12"/>
      <c r="BP68" s="12"/>
      <c r="BQ68" s="12"/>
      <c r="BR68" s="12"/>
      <c r="BS68" s="12"/>
      <c r="BT68" s="12"/>
      <c r="BU68" s="14"/>
      <c r="BV68" s="13"/>
      <c r="BW68" s="12"/>
      <c r="BX68" s="12"/>
      <c r="BY68" s="12"/>
      <c r="BZ68" s="13"/>
      <c r="CA68" s="13"/>
      <c r="CB68" s="13"/>
      <c r="CC68" s="13"/>
      <c r="CD68" s="13"/>
      <c r="CE68" s="13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2">
        <f t="shared" si="5"/>
        <v>0</v>
      </c>
      <c r="CV68" s="2" t="str">
        <f t="shared" si="4"/>
        <v>ALTA</v>
      </c>
      <c r="CW68" s="2">
        <f t="shared" si="6"/>
        <v>0</v>
      </c>
      <c r="CX68" s="2" t="str">
        <f t="shared" si="7"/>
        <v>ALTA</v>
      </c>
    </row>
    <row r="69" spans="1:102" x14ac:dyDescent="0.25">
      <c r="A69" s="12"/>
      <c r="B69" s="13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3"/>
      <c r="AX69" s="13"/>
      <c r="AY69" s="12"/>
      <c r="AZ69" s="12"/>
      <c r="BA69" s="13"/>
      <c r="BB69" s="12"/>
      <c r="BC69" s="14"/>
      <c r="BD69" s="12"/>
      <c r="BE69" s="12"/>
      <c r="BF69" s="13"/>
      <c r="BG69" s="13"/>
      <c r="BH69" s="12"/>
      <c r="BI69" s="12"/>
      <c r="BJ69" s="12"/>
      <c r="BK69" s="13"/>
      <c r="BL69" s="12"/>
      <c r="BM69" s="12"/>
      <c r="BN69" s="13"/>
      <c r="BO69" s="12"/>
      <c r="BP69" s="12"/>
      <c r="BQ69" s="12"/>
      <c r="BR69" s="12"/>
      <c r="BS69" s="12"/>
      <c r="BT69" s="12"/>
      <c r="BU69" s="14"/>
      <c r="BV69" s="13"/>
      <c r="BW69" s="12"/>
      <c r="BX69" s="13"/>
      <c r="BY69" s="12"/>
      <c r="BZ69" s="13"/>
      <c r="CA69" s="13"/>
      <c r="CB69" s="13"/>
      <c r="CC69" s="13"/>
      <c r="CD69" s="13"/>
      <c r="CE69" s="13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2">
        <f t="shared" si="5"/>
        <v>0</v>
      </c>
      <c r="CV69" s="2" t="str">
        <f t="shared" si="4"/>
        <v>ALTA</v>
      </c>
      <c r="CW69" s="2">
        <f t="shared" si="6"/>
        <v>0</v>
      </c>
      <c r="CX69" s="2" t="str">
        <f t="shared" si="7"/>
        <v>ALTA</v>
      </c>
    </row>
    <row r="70" spans="1:102" x14ac:dyDescent="0.25">
      <c r="A70" s="15"/>
      <c r="B70" s="16"/>
      <c r="C70" s="17"/>
      <c r="D70" s="15"/>
      <c r="E70" s="15"/>
      <c r="F70" s="15"/>
      <c r="G70" s="18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6"/>
      <c r="AX70" s="16"/>
      <c r="AY70" s="15"/>
      <c r="AZ70" s="15"/>
      <c r="BA70" s="16"/>
      <c r="BB70" s="15"/>
      <c r="BC70" s="17"/>
      <c r="BD70" s="15"/>
      <c r="BE70" s="15"/>
      <c r="BF70" s="16"/>
      <c r="BG70" s="16"/>
      <c r="BH70" s="15"/>
      <c r="BI70" s="15"/>
      <c r="BJ70" s="15"/>
      <c r="BK70" s="16"/>
      <c r="BL70" s="15"/>
      <c r="BM70" s="15"/>
      <c r="BN70" s="16"/>
      <c r="BO70" s="15"/>
      <c r="BP70" s="15"/>
      <c r="BQ70" s="15"/>
      <c r="BR70" s="15"/>
      <c r="BS70" s="15"/>
      <c r="BT70" s="15"/>
      <c r="BU70" s="17"/>
      <c r="BV70" s="16"/>
      <c r="BW70" s="15"/>
      <c r="BX70" s="16"/>
      <c r="BY70" s="15"/>
      <c r="BZ70" s="16"/>
      <c r="CA70" s="16"/>
      <c r="CB70" s="16"/>
      <c r="CC70" s="16"/>
      <c r="CD70" s="16"/>
      <c r="CE70" s="16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7"/>
      <c r="CS70" s="17"/>
      <c r="CT70" s="15"/>
      <c r="CU70" s="2">
        <f t="shared" si="5"/>
        <v>0</v>
      </c>
      <c r="CV70" s="2" t="str">
        <f t="shared" si="4"/>
        <v>ALTA</v>
      </c>
      <c r="CW70" s="2">
        <f t="shared" si="6"/>
        <v>0</v>
      </c>
      <c r="CX70" s="2" t="str">
        <f t="shared" si="7"/>
        <v>ALTA</v>
      </c>
    </row>
    <row r="71" spans="1:102" x14ac:dyDescent="0.25">
      <c r="A71" s="15"/>
      <c r="B71" s="16"/>
      <c r="C71" s="17"/>
      <c r="D71" s="15"/>
      <c r="E71" s="15"/>
      <c r="F71" s="15"/>
      <c r="G71" s="18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6"/>
      <c r="AX71" s="16"/>
      <c r="AY71" s="15"/>
      <c r="AZ71" s="15"/>
      <c r="BA71" s="16"/>
      <c r="BB71" s="15"/>
      <c r="BC71" s="17"/>
      <c r="BD71" s="15"/>
      <c r="BE71" s="15"/>
      <c r="BF71" s="16"/>
      <c r="BG71" s="16"/>
      <c r="BH71" s="15"/>
      <c r="BI71" s="15"/>
      <c r="BJ71" s="15"/>
      <c r="BK71" s="16"/>
      <c r="BL71" s="15"/>
      <c r="BM71" s="15"/>
      <c r="BN71" s="16"/>
      <c r="BO71" s="15"/>
      <c r="BP71" s="15"/>
      <c r="BQ71" s="15"/>
      <c r="BR71" s="15"/>
      <c r="BS71" s="15"/>
      <c r="BT71" s="15"/>
      <c r="BU71" s="17"/>
      <c r="BV71" s="16"/>
      <c r="BW71" s="15"/>
      <c r="BX71" s="16"/>
      <c r="BY71" s="15"/>
      <c r="BZ71" s="16"/>
      <c r="CA71" s="16"/>
      <c r="CB71" s="16"/>
      <c r="CC71" s="16"/>
      <c r="CD71" s="16"/>
      <c r="CE71" s="16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7"/>
      <c r="CS71" s="17"/>
      <c r="CT71" s="15"/>
      <c r="CU71" s="2">
        <f t="shared" si="5"/>
        <v>0</v>
      </c>
      <c r="CV71" s="2" t="str">
        <f t="shared" si="4"/>
        <v>ALTA</v>
      </c>
      <c r="CW71" s="2">
        <f t="shared" si="6"/>
        <v>0</v>
      </c>
      <c r="CX71" s="2" t="str">
        <f t="shared" si="7"/>
        <v>ALTA</v>
      </c>
    </row>
    <row r="72" spans="1:102" x14ac:dyDescent="0.25">
      <c r="A72" s="15"/>
      <c r="B72" s="16"/>
      <c r="C72" s="17"/>
      <c r="D72" s="15"/>
      <c r="E72" s="15"/>
      <c r="F72" s="15"/>
      <c r="G72" s="18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6"/>
      <c r="AX72" s="16"/>
      <c r="AY72" s="15"/>
      <c r="AZ72" s="15"/>
      <c r="BA72" s="16"/>
      <c r="BB72" s="15"/>
      <c r="BC72" s="17"/>
      <c r="BD72" s="15"/>
      <c r="BE72" s="15"/>
      <c r="BF72" s="16"/>
      <c r="BG72" s="16"/>
      <c r="BH72" s="15"/>
      <c r="BI72" s="15"/>
      <c r="BJ72" s="15"/>
      <c r="BK72" s="16"/>
      <c r="BL72" s="15"/>
      <c r="BM72" s="15"/>
      <c r="BN72" s="16"/>
      <c r="BO72" s="15"/>
      <c r="BP72" s="15"/>
      <c r="BQ72" s="15"/>
      <c r="BR72" s="15"/>
      <c r="BS72" s="15"/>
      <c r="BT72" s="15"/>
      <c r="BU72" s="17"/>
      <c r="BV72" s="16"/>
      <c r="BW72" s="15"/>
      <c r="BX72" s="16"/>
      <c r="BY72" s="15"/>
      <c r="BZ72" s="16"/>
      <c r="CA72" s="16"/>
      <c r="CB72" s="16"/>
      <c r="CC72" s="16"/>
      <c r="CD72" s="16"/>
      <c r="CE72" s="16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7"/>
      <c r="CS72" s="17"/>
      <c r="CT72" s="15"/>
      <c r="CU72" s="2">
        <f t="shared" si="5"/>
        <v>0</v>
      </c>
      <c r="CV72" s="2" t="str">
        <f t="shared" si="4"/>
        <v>ALTA</v>
      </c>
      <c r="CW72" s="2">
        <f t="shared" si="6"/>
        <v>0</v>
      </c>
      <c r="CX72" s="2" t="str">
        <f t="shared" si="7"/>
        <v>ALTA</v>
      </c>
    </row>
    <row r="73" spans="1:102" x14ac:dyDescent="0.25">
      <c r="A73" s="15"/>
      <c r="B73" s="16"/>
      <c r="C73" s="17"/>
      <c r="D73" s="15"/>
      <c r="E73" s="15"/>
      <c r="F73" s="15"/>
      <c r="G73" s="18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6"/>
      <c r="AX73" s="16"/>
      <c r="AY73" s="15"/>
      <c r="AZ73" s="15"/>
      <c r="BA73" s="16"/>
      <c r="BB73" s="15"/>
      <c r="BC73" s="16"/>
      <c r="BD73" s="15"/>
      <c r="BE73" s="15"/>
      <c r="BF73" s="16"/>
      <c r="BG73" s="15"/>
      <c r="BH73" s="15"/>
      <c r="BI73" s="15"/>
      <c r="BJ73" s="15"/>
      <c r="BK73" s="16"/>
      <c r="BL73" s="15"/>
      <c r="BM73" s="15"/>
      <c r="BN73" s="16"/>
      <c r="BO73" s="15"/>
      <c r="BP73" s="15"/>
      <c r="BQ73" s="15"/>
      <c r="BR73" s="15"/>
      <c r="BS73" s="15"/>
      <c r="BT73" s="15"/>
      <c r="BU73" s="17"/>
      <c r="BV73" s="16"/>
      <c r="BW73" s="15"/>
      <c r="BX73" s="16"/>
      <c r="BY73" s="15"/>
      <c r="BZ73" s="16"/>
      <c r="CA73" s="16"/>
      <c r="CB73" s="16"/>
      <c r="CC73" s="16"/>
      <c r="CD73" s="16"/>
      <c r="CE73" s="16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7"/>
      <c r="CS73" s="17"/>
      <c r="CT73" s="15"/>
      <c r="CU73" s="2">
        <f t="shared" si="5"/>
        <v>0</v>
      </c>
      <c r="CV73" s="2" t="str">
        <f t="shared" si="4"/>
        <v>ALTA</v>
      </c>
      <c r="CW73" s="2">
        <f t="shared" si="6"/>
        <v>0</v>
      </c>
      <c r="CX73" s="2" t="str">
        <f t="shared" si="7"/>
        <v>ALTA</v>
      </c>
    </row>
    <row r="74" spans="1:102" x14ac:dyDescent="0.25">
      <c r="A74" s="15"/>
      <c r="B74" s="16"/>
      <c r="C74" s="17"/>
      <c r="D74" s="15"/>
      <c r="E74" s="15"/>
      <c r="F74" s="15"/>
      <c r="G74" s="18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6"/>
      <c r="AX74" s="16"/>
      <c r="AY74" s="15"/>
      <c r="AZ74" s="15"/>
      <c r="BA74" s="16"/>
      <c r="BB74" s="15"/>
      <c r="BC74" s="16"/>
      <c r="BD74" s="15"/>
      <c r="BE74" s="15"/>
      <c r="BF74" s="16"/>
      <c r="BG74" s="15"/>
      <c r="BH74" s="15"/>
      <c r="BI74" s="15"/>
      <c r="BJ74" s="15"/>
      <c r="BK74" s="16"/>
      <c r="BL74" s="15"/>
      <c r="BM74" s="15"/>
      <c r="BN74" s="16"/>
      <c r="BO74" s="15"/>
      <c r="BP74" s="15"/>
      <c r="BQ74" s="15"/>
      <c r="BR74" s="15"/>
      <c r="BS74" s="15"/>
      <c r="BT74" s="15"/>
      <c r="BU74" s="17"/>
      <c r="BV74" s="16"/>
      <c r="BW74" s="15"/>
      <c r="BX74" s="16"/>
      <c r="BY74" s="15"/>
      <c r="BZ74" s="16"/>
      <c r="CA74" s="16"/>
      <c r="CB74" s="16"/>
      <c r="CC74" s="16"/>
      <c r="CD74" s="16"/>
      <c r="CE74" s="16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7"/>
      <c r="CS74" s="17"/>
      <c r="CT74" s="15"/>
      <c r="CU74" s="2">
        <f t="shared" si="5"/>
        <v>0</v>
      </c>
      <c r="CV74" s="2" t="str">
        <f t="shared" si="4"/>
        <v>ALTA</v>
      </c>
      <c r="CW74" s="2">
        <f t="shared" si="6"/>
        <v>0</v>
      </c>
      <c r="CX74" s="2" t="str">
        <f t="shared" si="7"/>
        <v>ALTA</v>
      </c>
    </row>
    <row r="75" spans="1:102" x14ac:dyDescent="0.25">
      <c r="A75" s="15"/>
      <c r="B75" s="16"/>
      <c r="C75" s="17"/>
      <c r="D75" s="15"/>
      <c r="E75" s="15"/>
      <c r="F75" s="15"/>
      <c r="G75" s="18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6"/>
      <c r="AX75" s="16"/>
      <c r="AY75" s="15"/>
      <c r="AZ75" s="15"/>
      <c r="BA75" s="16"/>
      <c r="BB75" s="15"/>
      <c r="BC75" s="16"/>
      <c r="BD75" s="15"/>
      <c r="BE75" s="15"/>
      <c r="BF75" s="16"/>
      <c r="BG75" s="15"/>
      <c r="BH75" s="15"/>
      <c r="BI75" s="15"/>
      <c r="BJ75" s="15"/>
      <c r="BK75" s="16"/>
      <c r="BL75" s="15"/>
      <c r="BM75" s="15"/>
      <c r="BN75" s="16"/>
      <c r="BO75" s="15"/>
      <c r="BP75" s="15"/>
      <c r="BQ75" s="15"/>
      <c r="BR75" s="15"/>
      <c r="BS75" s="15"/>
      <c r="BT75" s="15"/>
      <c r="BU75" s="17"/>
      <c r="BV75" s="16"/>
      <c r="BW75" s="15"/>
      <c r="BX75" s="16"/>
      <c r="BY75" s="15"/>
      <c r="BZ75" s="16"/>
      <c r="CA75" s="16"/>
      <c r="CB75" s="16"/>
      <c r="CC75" s="16"/>
      <c r="CD75" s="16"/>
      <c r="CE75" s="16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7"/>
      <c r="CS75" s="17"/>
      <c r="CT75" s="15"/>
      <c r="CU75" s="2">
        <f t="shared" si="5"/>
        <v>0</v>
      </c>
      <c r="CV75" s="2" t="str">
        <f t="shared" si="4"/>
        <v>ALTA</v>
      </c>
      <c r="CW75" s="2">
        <f t="shared" si="6"/>
        <v>0</v>
      </c>
      <c r="CX75" s="2" t="str">
        <f t="shared" si="7"/>
        <v>ALTA</v>
      </c>
    </row>
    <row r="76" spans="1:102" x14ac:dyDescent="0.25">
      <c r="A76" s="15"/>
      <c r="B76" s="16"/>
      <c r="C76" s="17"/>
      <c r="D76" s="15"/>
      <c r="E76" s="15"/>
      <c r="F76" s="15"/>
      <c r="G76" s="18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6"/>
      <c r="AX76" s="16"/>
      <c r="AY76" s="15"/>
      <c r="AZ76" s="15"/>
      <c r="BA76" s="16"/>
      <c r="BB76" s="15"/>
      <c r="BC76" s="16"/>
      <c r="BD76" s="15"/>
      <c r="BE76" s="15"/>
      <c r="BF76" s="16"/>
      <c r="BG76" s="15"/>
      <c r="BH76" s="15"/>
      <c r="BI76" s="15"/>
      <c r="BJ76" s="15"/>
      <c r="BK76" s="16"/>
      <c r="BL76" s="15"/>
      <c r="BM76" s="15"/>
      <c r="BN76" s="16"/>
      <c r="BO76" s="15"/>
      <c r="BP76" s="15"/>
      <c r="BQ76" s="15"/>
      <c r="BR76" s="15"/>
      <c r="BS76" s="15"/>
      <c r="BT76" s="15"/>
      <c r="BU76" s="17"/>
      <c r="BV76" s="16"/>
      <c r="BW76" s="15"/>
      <c r="BX76" s="16"/>
      <c r="BY76" s="15"/>
      <c r="BZ76" s="16"/>
      <c r="CA76" s="16"/>
      <c r="CB76" s="16"/>
      <c r="CC76" s="16"/>
      <c r="CD76" s="16"/>
      <c r="CE76" s="16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7"/>
      <c r="CS76" s="17"/>
      <c r="CT76" s="15"/>
      <c r="CU76" s="2">
        <f t="shared" si="5"/>
        <v>0</v>
      </c>
      <c r="CV76" s="2" t="str">
        <f t="shared" si="4"/>
        <v>ALTA</v>
      </c>
      <c r="CW76" s="2">
        <f t="shared" si="6"/>
        <v>0</v>
      </c>
      <c r="CX76" s="2" t="str">
        <f t="shared" si="7"/>
        <v>ALTA</v>
      </c>
    </row>
    <row r="77" spans="1:102" x14ac:dyDescent="0.25">
      <c r="A77" s="15"/>
      <c r="B77" s="16"/>
      <c r="C77" s="17"/>
      <c r="D77" s="15"/>
      <c r="E77" s="15"/>
      <c r="F77" s="15"/>
      <c r="G77" s="18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6"/>
      <c r="AX77" s="16"/>
      <c r="AY77" s="15"/>
      <c r="AZ77" s="15"/>
      <c r="BA77" s="16"/>
      <c r="BB77" s="15"/>
      <c r="BC77" s="16"/>
      <c r="BD77" s="15"/>
      <c r="BE77" s="15"/>
      <c r="BF77" s="16"/>
      <c r="BG77" s="15"/>
      <c r="BH77" s="15"/>
      <c r="BI77" s="15"/>
      <c r="BJ77" s="15"/>
      <c r="BK77" s="16"/>
      <c r="BL77" s="15"/>
      <c r="BM77" s="15"/>
      <c r="BN77" s="16"/>
      <c r="BO77" s="15"/>
      <c r="BP77" s="15"/>
      <c r="BQ77" s="15"/>
      <c r="BR77" s="15"/>
      <c r="BS77" s="15"/>
      <c r="BT77" s="15"/>
      <c r="BU77" s="17"/>
      <c r="BV77" s="16"/>
      <c r="BW77" s="15"/>
      <c r="BX77" s="16"/>
      <c r="BY77" s="15"/>
      <c r="BZ77" s="16"/>
      <c r="CA77" s="16"/>
      <c r="CB77" s="16"/>
      <c r="CC77" s="16"/>
      <c r="CD77" s="16"/>
      <c r="CE77" s="16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7"/>
      <c r="CS77" s="17"/>
      <c r="CT77" s="15"/>
      <c r="CU77" s="2">
        <f t="shared" si="5"/>
        <v>0</v>
      </c>
      <c r="CV77" s="2" t="str">
        <f t="shared" si="4"/>
        <v>ALTA</v>
      </c>
      <c r="CW77" s="2">
        <f t="shared" si="6"/>
        <v>0</v>
      </c>
      <c r="CX77" s="2" t="str">
        <f t="shared" si="7"/>
        <v>ALTA</v>
      </c>
    </row>
    <row r="78" spans="1:102" x14ac:dyDescent="0.25">
      <c r="A78" s="15"/>
      <c r="B78" s="16"/>
      <c r="C78" s="17"/>
      <c r="D78" s="15"/>
      <c r="E78" s="15"/>
      <c r="F78" s="15"/>
      <c r="G78" s="18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6"/>
      <c r="AX78" s="16"/>
      <c r="AY78" s="15"/>
      <c r="AZ78" s="15"/>
      <c r="BA78" s="16"/>
      <c r="BB78" s="15"/>
      <c r="BC78" s="16"/>
      <c r="BD78" s="15"/>
      <c r="BE78" s="15"/>
      <c r="BF78" s="16"/>
      <c r="BG78" s="15"/>
      <c r="BH78" s="15"/>
      <c r="BI78" s="15"/>
      <c r="BJ78" s="15"/>
      <c r="BK78" s="16"/>
      <c r="BL78" s="15"/>
      <c r="BM78" s="15"/>
      <c r="BN78" s="16"/>
      <c r="BO78" s="15"/>
      <c r="BP78" s="15"/>
      <c r="BQ78" s="15"/>
      <c r="BR78" s="15"/>
      <c r="BS78" s="15"/>
      <c r="BT78" s="15"/>
      <c r="BU78" s="17"/>
      <c r="BV78" s="16"/>
      <c r="BW78" s="15"/>
      <c r="BX78" s="16"/>
      <c r="BY78" s="15"/>
      <c r="BZ78" s="16"/>
      <c r="CA78" s="16"/>
      <c r="CB78" s="16"/>
      <c r="CC78" s="16"/>
      <c r="CD78" s="16"/>
      <c r="CE78" s="16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7"/>
      <c r="CS78" s="17"/>
      <c r="CT78" s="15"/>
      <c r="CU78" s="2">
        <f t="shared" si="5"/>
        <v>0</v>
      </c>
      <c r="CV78" s="2" t="str">
        <f t="shared" si="4"/>
        <v>ALTA</v>
      </c>
      <c r="CW78" s="2">
        <f t="shared" si="6"/>
        <v>0</v>
      </c>
      <c r="CX78" s="2" t="str">
        <f t="shared" si="7"/>
        <v>ALTA</v>
      </c>
    </row>
    <row r="79" spans="1:102" x14ac:dyDescent="0.25">
      <c r="A79" s="15"/>
      <c r="B79" s="16"/>
      <c r="C79" s="17"/>
      <c r="D79" s="15"/>
      <c r="E79" s="15"/>
      <c r="F79" s="15"/>
      <c r="G79" s="18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6"/>
      <c r="AX79" s="16"/>
      <c r="AY79" s="15"/>
      <c r="AZ79" s="15"/>
      <c r="BA79" s="16"/>
      <c r="BB79" s="15"/>
      <c r="BC79" s="16"/>
      <c r="BD79" s="15"/>
      <c r="BE79" s="15"/>
      <c r="BF79" s="16"/>
      <c r="BG79" s="15"/>
      <c r="BH79" s="15"/>
      <c r="BI79" s="15"/>
      <c r="BJ79" s="15"/>
      <c r="BK79" s="16"/>
      <c r="BL79" s="15"/>
      <c r="BM79" s="15"/>
      <c r="BN79" s="16"/>
      <c r="BO79" s="15"/>
      <c r="BP79" s="15"/>
      <c r="BQ79" s="15"/>
      <c r="BR79" s="15"/>
      <c r="BS79" s="15"/>
      <c r="BT79" s="15"/>
      <c r="BU79" s="17"/>
      <c r="BV79" s="16"/>
      <c r="BW79" s="15"/>
      <c r="BX79" s="16"/>
      <c r="BY79" s="15"/>
      <c r="BZ79" s="16"/>
      <c r="CA79" s="16"/>
      <c r="CB79" s="16"/>
      <c r="CC79" s="16"/>
      <c r="CD79" s="16"/>
      <c r="CE79" s="16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7"/>
      <c r="CS79" s="17"/>
      <c r="CT79" s="15"/>
      <c r="CU79" s="2">
        <f t="shared" si="5"/>
        <v>0</v>
      </c>
      <c r="CV79" s="2" t="str">
        <f t="shared" si="4"/>
        <v>ALTA</v>
      </c>
      <c r="CW79" s="2">
        <f t="shared" si="6"/>
        <v>0</v>
      </c>
      <c r="CX79" s="2" t="str">
        <f t="shared" si="7"/>
        <v>ALTA</v>
      </c>
    </row>
    <row r="80" spans="1:102" x14ac:dyDescent="0.25">
      <c r="A80" s="15"/>
      <c r="B80" s="16"/>
      <c r="C80" s="17"/>
      <c r="D80" s="15"/>
      <c r="E80" s="15"/>
      <c r="F80" s="15"/>
      <c r="G80" s="18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6"/>
      <c r="AX80" s="16"/>
      <c r="AY80" s="15"/>
      <c r="AZ80" s="15"/>
      <c r="BA80" s="16"/>
      <c r="BB80" s="15"/>
      <c r="BC80" s="16"/>
      <c r="BD80" s="15"/>
      <c r="BE80" s="15"/>
      <c r="BF80" s="16"/>
      <c r="BG80" s="15"/>
      <c r="BH80" s="15"/>
      <c r="BI80" s="15"/>
      <c r="BJ80" s="15"/>
      <c r="BK80" s="16"/>
      <c r="BL80" s="15"/>
      <c r="BM80" s="15"/>
      <c r="BN80" s="16"/>
      <c r="BO80" s="15"/>
      <c r="BP80" s="15"/>
      <c r="BQ80" s="15"/>
      <c r="BR80" s="15"/>
      <c r="BS80" s="15"/>
      <c r="BT80" s="15"/>
      <c r="BU80" s="17"/>
      <c r="BV80" s="16"/>
      <c r="BW80" s="15"/>
      <c r="BX80" s="16"/>
      <c r="BY80" s="15"/>
      <c r="BZ80" s="16"/>
      <c r="CA80" s="16"/>
      <c r="CB80" s="16"/>
      <c r="CC80" s="16"/>
      <c r="CD80" s="16"/>
      <c r="CE80" s="16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7"/>
      <c r="CS80" s="17"/>
      <c r="CT80" s="15"/>
      <c r="CU80" s="2">
        <f t="shared" si="5"/>
        <v>0</v>
      </c>
      <c r="CV80" s="2" t="str">
        <f t="shared" si="4"/>
        <v>ALTA</v>
      </c>
      <c r="CW80" s="2">
        <f t="shared" si="6"/>
        <v>0</v>
      </c>
      <c r="CX80" s="2" t="str">
        <f t="shared" si="7"/>
        <v>ALTA</v>
      </c>
    </row>
    <row r="81" spans="1:102" x14ac:dyDescent="0.25">
      <c r="A81" s="15"/>
      <c r="B81" s="16"/>
      <c r="C81" s="17"/>
      <c r="D81" s="15"/>
      <c r="E81" s="15"/>
      <c r="F81" s="15"/>
      <c r="G81" s="18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6"/>
      <c r="AX81" s="16"/>
      <c r="AY81" s="15"/>
      <c r="AZ81" s="15"/>
      <c r="BA81" s="16"/>
      <c r="BB81" s="15"/>
      <c r="BC81" s="16"/>
      <c r="BD81" s="15"/>
      <c r="BE81" s="15"/>
      <c r="BF81" s="16"/>
      <c r="BG81" s="15"/>
      <c r="BH81" s="15"/>
      <c r="BI81" s="15"/>
      <c r="BJ81" s="15"/>
      <c r="BK81" s="16"/>
      <c r="BL81" s="15"/>
      <c r="BM81" s="15"/>
      <c r="BN81" s="16"/>
      <c r="BO81" s="15"/>
      <c r="BP81" s="15"/>
      <c r="BQ81" s="15"/>
      <c r="BR81" s="15"/>
      <c r="BS81" s="15"/>
      <c r="BT81" s="15"/>
      <c r="BU81" s="17"/>
      <c r="BV81" s="16"/>
      <c r="BW81" s="15"/>
      <c r="BX81" s="16"/>
      <c r="BY81" s="15"/>
      <c r="BZ81" s="16"/>
      <c r="CA81" s="16"/>
      <c r="CB81" s="16"/>
      <c r="CC81" s="16"/>
      <c r="CD81" s="16"/>
      <c r="CE81" s="16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7"/>
      <c r="CS81" s="17"/>
      <c r="CT81" s="15"/>
      <c r="CU81" s="2">
        <f t="shared" si="5"/>
        <v>0</v>
      </c>
      <c r="CV81" s="2" t="str">
        <f t="shared" si="4"/>
        <v>ALTA</v>
      </c>
      <c r="CW81" s="2">
        <f t="shared" si="6"/>
        <v>0</v>
      </c>
      <c r="CX81" s="2" t="str">
        <f t="shared" si="7"/>
        <v>ALTA</v>
      </c>
    </row>
    <row r="82" spans="1:102" x14ac:dyDescent="0.25">
      <c r="A82" s="15"/>
      <c r="B82" s="16"/>
      <c r="C82" s="17"/>
      <c r="D82" s="15"/>
      <c r="E82" s="15"/>
      <c r="F82" s="15"/>
      <c r="G82" s="18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6"/>
      <c r="AX82" s="16"/>
      <c r="AY82" s="15"/>
      <c r="AZ82" s="15"/>
      <c r="BA82" s="16"/>
      <c r="BB82" s="15"/>
      <c r="BC82" s="16"/>
      <c r="BD82" s="15"/>
      <c r="BE82" s="15"/>
      <c r="BF82" s="16"/>
      <c r="BG82" s="15"/>
      <c r="BH82" s="15"/>
      <c r="BI82" s="15"/>
      <c r="BJ82" s="15"/>
      <c r="BK82" s="16"/>
      <c r="BL82" s="15"/>
      <c r="BM82" s="15"/>
      <c r="BN82" s="16"/>
      <c r="BO82" s="15"/>
      <c r="BP82" s="15"/>
      <c r="BQ82" s="15"/>
      <c r="BR82" s="15"/>
      <c r="BS82" s="15"/>
      <c r="BT82" s="15"/>
      <c r="BU82" s="17"/>
      <c r="BV82" s="16"/>
      <c r="BW82" s="15"/>
      <c r="BX82" s="16"/>
      <c r="BY82" s="15"/>
      <c r="BZ82" s="16"/>
      <c r="CA82" s="16"/>
      <c r="CB82" s="16"/>
      <c r="CC82" s="16"/>
      <c r="CD82" s="16"/>
      <c r="CE82" s="16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7"/>
      <c r="CS82" s="17"/>
      <c r="CT82" s="15"/>
      <c r="CU82" s="2">
        <f t="shared" si="5"/>
        <v>0</v>
      </c>
      <c r="CV82" s="2" t="str">
        <f t="shared" si="4"/>
        <v>ALTA</v>
      </c>
      <c r="CW82" s="2">
        <f t="shared" si="6"/>
        <v>0</v>
      </c>
      <c r="CX82" s="2" t="str">
        <f t="shared" si="7"/>
        <v>ALTA</v>
      </c>
    </row>
  </sheetData>
  <autoFilter ref="A1:CT82" xr:uid="{00000000-0009-0000-0000-000000000000}"/>
  <conditionalFormatting sqref="L83:L65536 L1">
    <cfRule type="duplicateValues" dxfId="14" priority="275" stopIfTrue="1"/>
  </conditionalFormatting>
  <conditionalFormatting sqref="L83:L65536 L1">
    <cfRule type="duplicateValues" dxfId="13" priority="277" stopIfTrue="1"/>
    <cfRule type="duplicateValues" dxfId="12" priority="278" stopIfTrue="1"/>
  </conditionalFormatting>
  <conditionalFormatting sqref="L83:L65536">
    <cfRule type="duplicateValues" dxfId="11" priority="279" stopIfTrue="1"/>
  </conditionalFormatting>
  <conditionalFormatting sqref="L83:L65536">
    <cfRule type="duplicateValues" dxfId="10" priority="280" stopIfTrue="1"/>
  </conditionalFormatting>
  <conditionalFormatting sqref="L83:L65536">
    <cfRule type="duplicateValues" dxfId="9" priority="273" stopIfTrue="1"/>
    <cfRule type="duplicateValues" dxfId="8" priority="274" stopIfTrue="1"/>
  </conditionalFormatting>
  <conditionalFormatting sqref="L1 L83:L65536">
    <cfRule type="duplicateValues" dxfId="7" priority="272" stopIfTrue="1"/>
  </conditionalFormatting>
  <conditionalFormatting sqref="L2:L82">
    <cfRule type="duplicateValues" dxfId="6" priority="1"/>
  </conditionalFormatting>
  <conditionalFormatting sqref="L2:L82">
    <cfRule type="duplicateValues" dxfId="5" priority="2" stopIfTrue="1"/>
  </conditionalFormatting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3"/>
  <sheetViews>
    <sheetView topLeftCell="CL1" workbookViewId="0">
      <selection activeCell="CU5" sqref="CU5"/>
    </sheetView>
  </sheetViews>
  <sheetFormatPr baseColWidth="10" defaultColWidth="14.33203125" defaultRowHeight="13.2" x14ac:dyDescent="0.25"/>
  <sheetData>
    <row r="1" spans="1:110" s="3" customFormat="1" ht="35.549999999999997" customHeight="1" x14ac:dyDescent="0.25">
      <c r="A1" s="7" t="s">
        <v>0</v>
      </c>
      <c r="B1" s="7" t="s">
        <v>1</v>
      </c>
      <c r="C1" s="7" t="s">
        <v>74</v>
      </c>
      <c r="D1" s="7" t="s">
        <v>75</v>
      </c>
      <c r="E1" s="7" t="s">
        <v>76</v>
      </c>
      <c r="F1" s="7" t="s">
        <v>77</v>
      </c>
      <c r="G1" s="7" t="s">
        <v>79</v>
      </c>
      <c r="H1" s="7" t="s">
        <v>80</v>
      </c>
      <c r="I1" s="7" t="s">
        <v>81</v>
      </c>
      <c r="J1" s="7" t="s">
        <v>82</v>
      </c>
      <c r="K1" s="7" t="s">
        <v>83</v>
      </c>
      <c r="L1" s="7" t="s">
        <v>84</v>
      </c>
      <c r="M1" s="7" t="s">
        <v>2</v>
      </c>
      <c r="N1" s="7" t="s">
        <v>85</v>
      </c>
      <c r="O1" s="11" t="s">
        <v>132</v>
      </c>
      <c r="P1" s="11" t="s">
        <v>133</v>
      </c>
      <c r="Q1" s="7" t="s">
        <v>3</v>
      </c>
      <c r="R1" s="7" t="s">
        <v>4</v>
      </c>
      <c r="S1" s="7" t="s">
        <v>5</v>
      </c>
      <c r="T1" s="7" t="s">
        <v>6</v>
      </c>
      <c r="U1" s="7" t="s">
        <v>7</v>
      </c>
      <c r="V1" s="7" t="s">
        <v>8</v>
      </c>
      <c r="W1" s="7" t="s">
        <v>86</v>
      </c>
      <c r="X1" s="7" t="s">
        <v>9</v>
      </c>
      <c r="Y1" s="7" t="s">
        <v>10</v>
      </c>
      <c r="Z1" s="7" t="s">
        <v>11</v>
      </c>
      <c r="AA1" s="7" t="s">
        <v>12</v>
      </c>
      <c r="AB1" s="7" t="s">
        <v>87</v>
      </c>
      <c r="AC1" s="7" t="s">
        <v>88</v>
      </c>
      <c r="AD1" s="7" t="s">
        <v>89</v>
      </c>
      <c r="AE1" s="8" t="s">
        <v>122</v>
      </c>
      <c r="AF1" s="8" t="s">
        <v>134</v>
      </c>
      <c r="AG1" s="7" t="s">
        <v>13</v>
      </c>
      <c r="AH1" s="7" t="s">
        <v>14</v>
      </c>
      <c r="AI1" s="7" t="s">
        <v>15</v>
      </c>
      <c r="AJ1" s="7" t="s">
        <v>90</v>
      </c>
      <c r="AK1" s="7" t="s">
        <v>91</v>
      </c>
      <c r="AL1" s="8" t="s">
        <v>135</v>
      </c>
      <c r="AM1" s="7" t="s">
        <v>16</v>
      </c>
      <c r="AN1" s="7" t="s">
        <v>92</v>
      </c>
      <c r="AO1" s="7" t="s">
        <v>93</v>
      </c>
      <c r="AP1" s="7" t="s">
        <v>94</v>
      </c>
      <c r="AQ1" s="7" t="s">
        <v>95</v>
      </c>
      <c r="AR1" s="7" t="s">
        <v>96</v>
      </c>
      <c r="AS1" s="7" t="s">
        <v>17</v>
      </c>
      <c r="AT1" s="8" t="s">
        <v>123</v>
      </c>
      <c r="AU1" s="11" t="s">
        <v>136</v>
      </c>
      <c r="AV1" s="7" t="s">
        <v>18</v>
      </c>
      <c r="AW1" s="7" t="s">
        <v>19</v>
      </c>
      <c r="AX1" s="7" t="s">
        <v>97</v>
      </c>
      <c r="AY1" s="7" t="s">
        <v>98</v>
      </c>
      <c r="AZ1" s="7" t="s">
        <v>99</v>
      </c>
      <c r="BA1" s="7" t="s">
        <v>20</v>
      </c>
      <c r="BB1" s="7" t="s">
        <v>21</v>
      </c>
      <c r="BC1" s="7" t="s">
        <v>100</v>
      </c>
      <c r="BD1" s="7" t="s">
        <v>22</v>
      </c>
      <c r="BE1" s="7" t="s">
        <v>23</v>
      </c>
      <c r="BF1" s="7" t="s">
        <v>24</v>
      </c>
      <c r="BG1" s="7" t="s">
        <v>25</v>
      </c>
      <c r="BH1" s="7" t="s">
        <v>101</v>
      </c>
      <c r="BI1" s="7" t="s">
        <v>102</v>
      </c>
      <c r="BJ1" s="7" t="s">
        <v>60</v>
      </c>
      <c r="BK1" s="7" t="s">
        <v>61</v>
      </c>
      <c r="BL1" s="7" t="s">
        <v>26</v>
      </c>
      <c r="BM1" s="7" t="s">
        <v>27</v>
      </c>
      <c r="BN1" s="7" t="s">
        <v>28</v>
      </c>
      <c r="BO1" s="7" t="s">
        <v>103</v>
      </c>
      <c r="BP1" s="7" t="s">
        <v>29</v>
      </c>
      <c r="BQ1" s="7" t="s">
        <v>30</v>
      </c>
      <c r="BR1" s="7" t="s">
        <v>31</v>
      </c>
      <c r="BS1" s="7" t="s">
        <v>32</v>
      </c>
      <c r="BT1" s="7" t="s">
        <v>33</v>
      </c>
      <c r="BU1" s="7" t="s">
        <v>104</v>
      </c>
      <c r="BV1" s="7" t="s">
        <v>124</v>
      </c>
      <c r="BW1" s="7" t="s">
        <v>105</v>
      </c>
      <c r="BX1" s="7" t="s">
        <v>62</v>
      </c>
      <c r="BY1" s="7" t="s">
        <v>118</v>
      </c>
      <c r="BZ1" s="7" t="s">
        <v>106</v>
      </c>
      <c r="CA1" s="7" t="s">
        <v>63</v>
      </c>
      <c r="CB1" s="7" t="s">
        <v>107</v>
      </c>
      <c r="CC1" s="7" t="s">
        <v>108</v>
      </c>
      <c r="CD1" s="7" t="s">
        <v>64</v>
      </c>
      <c r="CE1" s="7" t="s">
        <v>65</v>
      </c>
      <c r="CF1" s="8" t="s">
        <v>119</v>
      </c>
      <c r="CG1" s="8" t="s">
        <v>120</v>
      </c>
      <c r="CH1" s="8" t="s">
        <v>121</v>
      </c>
      <c r="CI1" s="8" t="s">
        <v>125</v>
      </c>
      <c r="CJ1" s="8" t="s">
        <v>34</v>
      </c>
      <c r="CK1" s="8" t="s">
        <v>35</v>
      </c>
      <c r="CL1" s="11" t="s">
        <v>137</v>
      </c>
      <c r="CM1" s="8" t="s">
        <v>36</v>
      </c>
      <c r="CN1" s="7" t="s">
        <v>37</v>
      </c>
      <c r="CO1" s="11" t="s">
        <v>138</v>
      </c>
      <c r="CP1" s="7" t="s">
        <v>38</v>
      </c>
      <c r="CQ1" s="6" t="s">
        <v>39</v>
      </c>
      <c r="CR1" s="7" t="s">
        <v>41</v>
      </c>
      <c r="CS1" s="7" t="s">
        <v>40</v>
      </c>
      <c r="CT1" s="2" t="s">
        <v>42</v>
      </c>
      <c r="CU1" s="19" t="s">
        <v>153</v>
      </c>
      <c r="CV1" s="19" t="s">
        <v>153</v>
      </c>
      <c r="CW1" s="19" t="s">
        <v>154</v>
      </c>
      <c r="CX1" s="19" t="s">
        <v>154</v>
      </c>
      <c r="CY1" s="7"/>
      <c r="CZ1" s="7"/>
      <c r="DA1" s="7"/>
      <c r="DB1" s="7"/>
      <c r="DC1" s="7"/>
      <c r="DD1" s="7"/>
      <c r="DE1" s="7"/>
      <c r="DF1" s="7"/>
    </row>
    <row r="2" spans="1:110" x14ac:dyDescent="0.25">
      <c r="A2" s="7" t="s">
        <v>0</v>
      </c>
      <c r="B2" s="7" t="s">
        <v>1</v>
      </c>
      <c r="C2" s="7" t="s">
        <v>74</v>
      </c>
      <c r="D2" s="7" t="s">
        <v>75</v>
      </c>
      <c r="E2" s="7" t="s">
        <v>76</v>
      </c>
      <c r="F2" s="7" t="s">
        <v>77</v>
      </c>
      <c r="G2" s="7" t="s">
        <v>79</v>
      </c>
      <c r="H2" s="7" t="s">
        <v>80</v>
      </c>
      <c r="I2" s="7" t="s">
        <v>81</v>
      </c>
      <c r="J2" s="7" t="s">
        <v>82</v>
      </c>
      <c r="K2" s="7" t="s">
        <v>83</v>
      </c>
      <c r="L2" s="7" t="s">
        <v>84</v>
      </c>
      <c r="M2" s="7" t="s">
        <v>2</v>
      </c>
      <c r="N2" s="7" t="s">
        <v>85</v>
      </c>
      <c r="O2" s="7" t="s">
        <v>132</v>
      </c>
      <c r="P2" s="7" t="s">
        <v>133</v>
      </c>
      <c r="Q2" s="7" t="s">
        <v>3</v>
      </c>
      <c r="R2" s="7" t="s">
        <v>4</v>
      </c>
      <c r="S2" s="7" t="s">
        <v>5</v>
      </c>
      <c r="T2" s="7" t="s">
        <v>6</v>
      </c>
      <c r="U2" s="7" t="s">
        <v>7</v>
      </c>
      <c r="V2" s="7" t="s">
        <v>8</v>
      </c>
      <c r="W2" s="7" t="s">
        <v>86</v>
      </c>
      <c r="X2" s="7" t="s">
        <v>9</v>
      </c>
      <c r="Y2" s="7" t="s">
        <v>10</v>
      </c>
      <c r="Z2" s="7" t="s">
        <v>11</v>
      </c>
      <c r="AA2" s="7" t="s">
        <v>12</v>
      </c>
      <c r="AB2" s="7" t="s">
        <v>87</v>
      </c>
      <c r="AC2" s="7" t="s">
        <v>88</v>
      </c>
      <c r="AD2" s="7" t="s">
        <v>89</v>
      </c>
      <c r="AE2" s="7" t="s">
        <v>122</v>
      </c>
      <c r="AF2" s="7" t="s">
        <v>134</v>
      </c>
      <c r="AG2" s="7" t="s">
        <v>13</v>
      </c>
      <c r="AH2" s="7" t="s">
        <v>14</v>
      </c>
      <c r="AI2" s="7" t="s">
        <v>15</v>
      </c>
      <c r="AJ2" s="7" t="s">
        <v>90</v>
      </c>
      <c r="AK2" s="7" t="s">
        <v>91</v>
      </c>
      <c r="AL2" s="7" t="s">
        <v>135</v>
      </c>
      <c r="AM2" s="7" t="s">
        <v>16</v>
      </c>
      <c r="AN2" s="7" t="s">
        <v>92</v>
      </c>
      <c r="AO2" s="7" t="s">
        <v>93</v>
      </c>
      <c r="AP2" s="7" t="s">
        <v>94</v>
      </c>
      <c r="AQ2" s="7" t="s">
        <v>95</v>
      </c>
      <c r="AR2" s="7" t="s">
        <v>96</v>
      </c>
      <c r="AS2" s="7" t="s">
        <v>17</v>
      </c>
      <c r="AT2" s="7" t="s">
        <v>123</v>
      </c>
      <c r="AU2" s="7" t="s">
        <v>136</v>
      </c>
      <c r="AV2" s="7" t="s">
        <v>18</v>
      </c>
      <c r="AW2" s="7" t="s">
        <v>19</v>
      </c>
      <c r="AX2" s="7" t="s">
        <v>97</v>
      </c>
      <c r="AY2" s="7" t="s">
        <v>98</v>
      </c>
      <c r="AZ2" s="7" t="s">
        <v>99</v>
      </c>
      <c r="BA2" s="7" t="s">
        <v>20</v>
      </c>
      <c r="BB2" s="7" t="s">
        <v>21</v>
      </c>
      <c r="BC2" s="7" t="s">
        <v>100</v>
      </c>
      <c r="BD2" s="7" t="s">
        <v>22</v>
      </c>
      <c r="BE2" s="7" t="s">
        <v>23</v>
      </c>
      <c r="BF2" s="7" t="s">
        <v>24</v>
      </c>
      <c r="BG2" s="7" t="s">
        <v>25</v>
      </c>
      <c r="BH2" s="7" t="s">
        <v>101</v>
      </c>
      <c r="BI2" s="7" t="s">
        <v>102</v>
      </c>
      <c r="BJ2" s="7" t="s">
        <v>60</v>
      </c>
      <c r="BK2" s="7" t="s">
        <v>61</v>
      </c>
      <c r="BL2" s="7" t="s">
        <v>26</v>
      </c>
      <c r="BM2" s="7" t="s">
        <v>27</v>
      </c>
      <c r="BN2" s="7" t="s">
        <v>28</v>
      </c>
      <c r="BO2" s="7" t="s">
        <v>103</v>
      </c>
      <c r="BP2" s="7" t="s">
        <v>29</v>
      </c>
      <c r="BQ2" s="7" t="s">
        <v>30</v>
      </c>
      <c r="BR2" s="7" t="s">
        <v>31</v>
      </c>
      <c r="BS2" s="7" t="s">
        <v>32</v>
      </c>
      <c r="BT2" s="7" t="s">
        <v>33</v>
      </c>
      <c r="BU2" s="7" t="s">
        <v>104</v>
      </c>
      <c r="BV2" s="7" t="s">
        <v>124</v>
      </c>
      <c r="BW2" s="7" t="s">
        <v>105</v>
      </c>
      <c r="BX2" s="7" t="s">
        <v>62</v>
      </c>
      <c r="BY2" s="7" t="s">
        <v>118</v>
      </c>
      <c r="BZ2" s="7" t="s">
        <v>106</v>
      </c>
      <c r="CA2" s="7" t="s">
        <v>63</v>
      </c>
      <c r="CB2" s="7" t="s">
        <v>107</v>
      </c>
      <c r="CC2" s="7" t="s">
        <v>108</v>
      </c>
      <c r="CD2" s="7" t="s">
        <v>64</v>
      </c>
      <c r="CE2" s="7" t="s">
        <v>65</v>
      </c>
      <c r="CF2" s="7" t="s">
        <v>119</v>
      </c>
      <c r="CG2" s="7" t="s">
        <v>120</v>
      </c>
      <c r="CH2" s="7" t="s">
        <v>121</v>
      </c>
      <c r="CI2" s="7" t="s">
        <v>125</v>
      </c>
      <c r="CJ2" s="7" t="s">
        <v>34</v>
      </c>
      <c r="CK2" s="7" t="s">
        <v>35</v>
      </c>
      <c r="CL2" s="7" t="s">
        <v>137</v>
      </c>
      <c r="CM2" s="7" t="s">
        <v>36</v>
      </c>
      <c r="CN2" s="7" t="s">
        <v>37</v>
      </c>
      <c r="CO2" s="7" t="s">
        <v>138</v>
      </c>
      <c r="CP2" s="7" t="s">
        <v>38</v>
      </c>
      <c r="CQ2" s="7" t="s">
        <v>39</v>
      </c>
      <c r="CR2" s="7" t="s">
        <v>41</v>
      </c>
      <c r="CS2" s="7" t="s">
        <v>40</v>
      </c>
      <c r="CT2" s="7" t="s">
        <v>42</v>
      </c>
      <c r="CU2" s="7" t="s">
        <v>139</v>
      </c>
      <c r="CV2" s="7" t="s">
        <v>155</v>
      </c>
    </row>
    <row r="3" spans="1:110" x14ac:dyDescent="0.25">
      <c r="A3" t="b">
        <f>A2=A1</f>
        <v>1</v>
      </c>
      <c r="B3" s="7" t="b">
        <f t="shared" ref="B3:BM3" si="0">B2=B1</f>
        <v>1</v>
      </c>
      <c r="C3" s="7" t="b">
        <f t="shared" si="0"/>
        <v>1</v>
      </c>
      <c r="D3" s="7" t="b">
        <f t="shared" si="0"/>
        <v>1</v>
      </c>
      <c r="E3" s="7" t="b">
        <f t="shared" si="0"/>
        <v>1</v>
      </c>
      <c r="F3" s="7" t="b">
        <f t="shared" si="0"/>
        <v>1</v>
      </c>
      <c r="G3" s="7" t="b">
        <f t="shared" si="0"/>
        <v>1</v>
      </c>
      <c r="H3" s="7" t="b">
        <f t="shared" si="0"/>
        <v>1</v>
      </c>
      <c r="I3" s="7" t="b">
        <f t="shared" si="0"/>
        <v>1</v>
      </c>
      <c r="J3" s="7" t="b">
        <f t="shared" si="0"/>
        <v>1</v>
      </c>
      <c r="K3" s="7" t="b">
        <f t="shared" si="0"/>
        <v>1</v>
      </c>
      <c r="L3" s="7" t="b">
        <f t="shared" si="0"/>
        <v>1</v>
      </c>
      <c r="M3" s="7" t="b">
        <f t="shared" si="0"/>
        <v>1</v>
      </c>
      <c r="N3" s="7" t="b">
        <f t="shared" si="0"/>
        <v>1</v>
      </c>
      <c r="O3" s="7" t="b">
        <f t="shared" si="0"/>
        <v>1</v>
      </c>
      <c r="P3" s="7" t="b">
        <f t="shared" si="0"/>
        <v>1</v>
      </c>
      <c r="Q3" s="7" t="b">
        <f t="shared" si="0"/>
        <v>1</v>
      </c>
      <c r="R3" s="7" t="b">
        <f t="shared" si="0"/>
        <v>1</v>
      </c>
      <c r="S3" s="7" t="b">
        <f t="shared" si="0"/>
        <v>1</v>
      </c>
      <c r="T3" s="7" t="b">
        <f t="shared" si="0"/>
        <v>1</v>
      </c>
      <c r="U3" s="7" t="b">
        <f t="shared" si="0"/>
        <v>1</v>
      </c>
      <c r="V3" s="7" t="b">
        <f t="shared" si="0"/>
        <v>1</v>
      </c>
      <c r="W3" s="7" t="b">
        <f t="shared" si="0"/>
        <v>1</v>
      </c>
      <c r="X3" s="7" t="b">
        <f t="shared" si="0"/>
        <v>1</v>
      </c>
      <c r="Y3" s="7" t="b">
        <f t="shared" si="0"/>
        <v>1</v>
      </c>
      <c r="Z3" s="7" t="b">
        <f t="shared" si="0"/>
        <v>1</v>
      </c>
      <c r="AA3" s="7" t="b">
        <f t="shared" si="0"/>
        <v>1</v>
      </c>
      <c r="AB3" s="7" t="b">
        <f t="shared" si="0"/>
        <v>1</v>
      </c>
      <c r="AC3" s="7" t="b">
        <f t="shared" si="0"/>
        <v>1</v>
      </c>
      <c r="AD3" s="7" t="b">
        <f t="shared" si="0"/>
        <v>1</v>
      </c>
      <c r="AE3" s="7" t="b">
        <f t="shared" si="0"/>
        <v>1</v>
      </c>
      <c r="AF3" s="7" t="b">
        <f t="shared" si="0"/>
        <v>1</v>
      </c>
      <c r="AG3" s="7" t="b">
        <f t="shared" si="0"/>
        <v>1</v>
      </c>
      <c r="AH3" s="7" t="b">
        <f t="shared" si="0"/>
        <v>1</v>
      </c>
      <c r="AI3" s="7" t="b">
        <f t="shared" si="0"/>
        <v>1</v>
      </c>
      <c r="AJ3" s="7" t="b">
        <f t="shared" si="0"/>
        <v>1</v>
      </c>
      <c r="AK3" s="7" t="b">
        <f t="shared" si="0"/>
        <v>1</v>
      </c>
      <c r="AL3" s="7" t="b">
        <f t="shared" si="0"/>
        <v>1</v>
      </c>
      <c r="AM3" s="7" t="b">
        <f t="shared" si="0"/>
        <v>1</v>
      </c>
      <c r="AN3" s="7" t="b">
        <f t="shared" si="0"/>
        <v>1</v>
      </c>
      <c r="AO3" s="7" t="b">
        <f t="shared" si="0"/>
        <v>1</v>
      </c>
      <c r="AP3" s="7" t="b">
        <f t="shared" si="0"/>
        <v>1</v>
      </c>
      <c r="AQ3" s="7" t="b">
        <f t="shared" si="0"/>
        <v>1</v>
      </c>
      <c r="AR3" s="7" t="b">
        <f t="shared" si="0"/>
        <v>1</v>
      </c>
      <c r="AS3" s="7" t="b">
        <f t="shared" si="0"/>
        <v>1</v>
      </c>
      <c r="AT3" s="7" t="b">
        <f t="shared" si="0"/>
        <v>1</v>
      </c>
      <c r="AU3" s="7" t="b">
        <f t="shared" si="0"/>
        <v>1</v>
      </c>
      <c r="AV3" s="7" t="b">
        <f t="shared" si="0"/>
        <v>1</v>
      </c>
      <c r="AW3" s="7" t="b">
        <f t="shared" si="0"/>
        <v>1</v>
      </c>
      <c r="AX3" s="7" t="b">
        <f t="shared" si="0"/>
        <v>1</v>
      </c>
      <c r="AY3" s="7" t="b">
        <f t="shared" si="0"/>
        <v>1</v>
      </c>
      <c r="AZ3" s="7" t="b">
        <f t="shared" si="0"/>
        <v>1</v>
      </c>
      <c r="BA3" s="7" t="b">
        <f t="shared" si="0"/>
        <v>1</v>
      </c>
      <c r="BB3" s="7" t="b">
        <f t="shared" si="0"/>
        <v>1</v>
      </c>
      <c r="BC3" s="7" t="b">
        <f t="shared" si="0"/>
        <v>1</v>
      </c>
      <c r="BD3" s="7" t="b">
        <f t="shared" si="0"/>
        <v>1</v>
      </c>
      <c r="BE3" s="7" t="b">
        <f t="shared" si="0"/>
        <v>1</v>
      </c>
      <c r="BF3" s="7" t="b">
        <f t="shared" si="0"/>
        <v>1</v>
      </c>
      <c r="BG3" s="7" t="b">
        <f t="shared" si="0"/>
        <v>1</v>
      </c>
      <c r="BH3" s="7" t="b">
        <f t="shared" si="0"/>
        <v>1</v>
      </c>
      <c r="BI3" s="7" t="b">
        <f t="shared" si="0"/>
        <v>1</v>
      </c>
      <c r="BJ3" s="7" t="b">
        <f t="shared" si="0"/>
        <v>1</v>
      </c>
      <c r="BK3" s="7" t="b">
        <f t="shared" si="0"/>
        <v>1</v>
      </c>
      <c r="BL3" s="7" t="b">
        <f t="shared" si="0"/>
        <v>1</v>
      </c>
      <c r="BM3" s="7" t="b">
        <f t="shared" si="0"/>
        <v>1</v>
      </c>
      <c r="BN3" s="7" t="b">
        <f t="shared" ref="BN3:CX3" si="1">BN2=BN1</f>
        <v>1</v>
      </c>
      <c r="BO3" s="7" t="b">
        <f t="shared" si="1"/>
        <v>1</v>
      </c>
      <c r="BP3" s="7" t="b">
        <f t="shared" si="1"/>
        <v>1</v>
      </c>
      <c r="BQ3" s="7" t="b">
        <f t="shared" si="1"/>
        <v>1</v>
      </c>
      <c r="BR3" s="7" t="b">
        <f t="shared" si="1"/>
        <v>1</v>
      </c>
      <c r="BS3" s="7" t="b">
        <f t="shared" si="1"/>
        <v>1</v>
      </c>
      <c r="BT3" s="7" t="b">
        <f t="shared" si="1"/>
        <v>1</v>
      </c>
      <c r="BU3" s="7" t="b">
        <f t="shared" si="1"/>
        <v>1</v>
      </c>
      <c r="BV3" s="7" t="b">
        <f t="shared" si="1"/>
        <v>1</v>
      </c>
      <c r="BW3" s="7" t="b">
        <f t="shared" si="1"/>
        <v>1</v>
      </c>
      <c r="BX3" s="7" t="b">
        <f t="shared" si="1"/>
        <v>1</v>
      </c>
      <c r="BY3" s="7" t="b">
        <f t="shared" si="1"/>
        <v>1</v>
      </c>
      <c r="BZ3" s="7" t="b">
        <f t="shared" si="1"/>
        <v>1</v>
      </c>
      <c r="CA3" s="7" t="b">
        <f t="shared" si="1"/>
        <v>1</v>
      </c>
      <c r="CB3" s="7" t="b">
        <f t="shared" si="1"/>
        <v>1</v>
      </c>
      <c r="CC3" s="7" t="b">
        <f t="shared" si="1"/>
        <v>1</v>
      </c>
      <c r="CD3" s="7" t="b">
        <f t="shared" si="1"/>
        <v>1</v>
      </c>
      <c r="CE3" s="7" t="b">
        <f t="shared" si="1"/>
        <v>1</v>
      </c>
      <c r="CF3" s="7" t="b">
        <f t="shared" si="1"/>
        <v>1</v>
      </c>
      <c r="CG3" s="7" t="b">
        <f t="shared" si="1"/>
        <v>1</v>
      </c>
      <c r="CH3" s="7" t="b">
        <f t="shared" si="1"/>
        <v>1</v>
      </c>
      <c r="CI3" s="7" t="b">
        <f t="shared" si="1"/>
        <v>1</v>
      </c>
      <c r="CJ3" s="7" t="b">
        <f t="shared" si="1"/>
        <v>1</v>
      </c>
      <c r="CK3" s="7" t="b">
        <f t="shared" si="1"/>
        <v>1</v>
      </c>
      <c r="CL3" s="7" t="b">
        <f t="shared" si="1"/>
        <v>1</v>
      </c>
      <c r="CM3" s="7" t="b">
        <f t="shared" si="1"/>
        <v>1</v>
      </c>
      <c r="CN3" s="7" t="b">
        <f t="shared" si="1"/>
        <v>1</v>
      </c>
      <c r="CO3" s="7" t="b">
        <f t="shared" si="1"/>
        <v>1</v>
      </c>
      <c r="CP3" s="7" t="b">
        <f t="shared" si="1"/>
        <v>1</v>
      </c>
      <c r="CQ3" s="7" t="b">
        <f t="shared" si="1"/>
        <v>1</v>
      </c>
      <c r="CR3" s="7" t="b">
        <f t="shared" si="1"/>
        <v>1</v>
      </c>
      <c r="CS3" s="7" t="b">
        <f t="shared" si="1"/>
        <v>1</v>
      </c>
      <c r="CT3" s="7" t="b">
        <f t="shared" si="1"/>
        <v>1</v>
      </c>
      <c r="CU3" s="7" t="b">
        <f t="shared" si="1"/>
        <v>0</v>
      </c>
      <c r="CV3" s="7" t="b">
        <f t="shared" si="1"/>
        <v>0</v>
      </c>
      <c r="CW3" s="7" t="b">
        <f t="shared" si="1"/>
        <v>0</v>
      </c>
      <c r="CX3" s="7" t="b">
        <f t="shared" si="1"/>
        <v>0</v>
      </c>
    </row>
  </sheetData>
  <conditionalFormatting sqref="L1">
    <cfRule type="duplicateValues" dxfId="4" priority="3" stopIfTrue="1"/>
  </conditionalFormatting>
  <conditionalFormatting sqref="L1">
    <cfRule type="duplicateValues" dxfId="3" priority="4" stopIfTrue="1"/>
    <cfRule type="duplicateValues" dxfId="2" priority="5" stopIfTrue="1"/>
  </conditionalFormatting>
  <conditionalFormatting sqref="L1">
    <cfRule type="duplicateValues" dxfId="1" priority="2" stopIfTrue="1"/>
  </conditionalFormatting>
  <conditionalFormatting sqref="L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Andres Gomez</cp:lastModifiedBy>
  <dcterms:created xsi:type="dcterms:W3CDTF">2014-12-11T22:06:01Z</dcterms:created>
  <dcterms:modified xsi:type="dcterms:W3CDTF">2021-04-05T14:20:48Z</dcterms:modified>
</cp:coreProperties>
</file>